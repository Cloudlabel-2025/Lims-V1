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842c736b7df44db" /></Relationships>
</file>

<file path=xl/workbook.xml><?xml version="1.0" encoding="utf-8"?>
<x:workbook xmlns:x="http://schemas.openxmlformats.org/spreadsheetml/2006/main">
  <x:sheets>
    <x:sheet xmlns:r="http://schemas.openxmlformats.org/officeDocument/2006/relationships" name="Release Dashboard" sheetId="1" r:id="Rd2b6a18525c9494b"/>
    <x:sheet xmlns:r="http://schemas.openxmlformats.org/officeDocument/2006/relationships" name="Test Cases" sheetId="2" r:id="Red225f719f9541c2"/>
    <x:sheet xmlns:r="http://schemas.openxmlformats.org/officeDocument/2006/relationships" name="Level Summary" sheetId="3" r:id="Reca6d2e69bb443f5"/>
    <x:sheet xmlns:r="http://schemas.openxmlformats.org/officeDocument/2006/relationships" name="Module Summary" sheetId="4" r:id="Ra9d2a658d3fe4016"/>
    <x:sheet xmlns:r="http://schemas.openxmlformats.org/officeDocument/2006/relationships" name="Defects" sheetId="5" r:id="R3e6b161dff014224"/>
    <x:sheet xmlns:r="http://schemas.openxmlformats.org/officeDocument/2006/relationships" name="Test Runs" sheetId="6" r:id="R709db34dd1f14d92"/>
    <x:sheet xmlns:r="http://schemas.openxmlformats.org/officeDocument/2006/relationships" name="Lists &amp; Rules" sheetId="7" r:id="Rb85c552bdd9d41f9"/>
    <x:sheet xmlns:r="http://schemas.openxmlformats.org/officeDocument/2006/relationships" name="Instructions" sheetId="8" r:id="R3c630599504c4306"/>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yyyy-mm-dd"/>
    <x:numFmt numFmtId="202" formatCode="0%"/>
  </x:numFmts>
  <x:fonts count="9">
    <x:font>
      <x:sz val="11"/>
      <x:name val="Carlito"/>
    </x:font>
    <x:font>
      <x:b/>
      <x:sz val="20"/>
      <x:color rgb="FFFFFFFF"/>
      <x:name val="Carlito"/>
    </x:font>
    <x:font>
      <x:i/>
      <x:sz val="10"/>
      <x:color rgb="FF163A5F"/>
      <x:name val="Carlito"/>
    </x:font>
    <x:font>
      <x:b/>
      <x:sz val="11"/>
      <x:color rgb="FF163A5F"/>
      <x:name val="Carlito"/>
    </x:font>
    <x:font>
      <x:b/>
      <x:sz val="11"/>
      <x:color rgb="FFFFFFFF"/>
      <x:name val="Carlito"/>
    </x:font>
    <x:font>
      <x:sz val="11"/>
      <x:color rgb="FF64748B"/>
      <x:name val="Carlito"/>
    </x:font>
    <x:font>
      <x:b/>
      <x:sz val="14"/>
      <x:color rgb="FF991B1B"/>
      <x:name val="Carlito"/>
    </x:font>
    <x:font>
      <x:b/>
      <x:sz val="12"/>
      <x:color rgb="FF163A5F"/>
      <x:name val="Carlito"/>
    </x:font>
    <x:font>
      <x:b/>
      <x:sz val="12"/>
      <x:color rgb="FF92400E"/>
      <x:name val="Carlito"/>
    </x:font>
  </x:fonts>
  <x:fills count="9">
    <x:fill>
      <x:patternFill patternType="none"/>
    </x:fill>
    <x:fill>
      <x:patternFill patternType="gray125"/>
    </x:fill>
    <x:fill>
      <x:patternFill patternType="solid">
        <x:fgColor rgb="FF163A5F"/>
      </x:patternFill>
    </x:fill>
    <x:fill>
      <x:patternFill patternType="solid">
        <x:fgColor rgb="FFE8F1F8"/>
      </x:patternFill>
    </x:fill>
    <x:fill>
      <x:patternFill patternType="solid">
        <x:fgColor rgb="FFF4F6F9"/>
      </x:patternFill>
    </x:fill>
    <x:fill>
      <x:patternFill patternType="solid">
        <x:fgColor rgb="FF2E74B5"/>
      </x:patternFill>
    </x:fill>
    <x:fill>
      <x:patternFill patternType="solid">
        <x:fgColor rgb="FFFFF6CC"/>
      </x:patternFill>
    </x:fill>
    <x:fill>
      <x:patternFill patternType="solid">
        <x:fgColor rgb="FFFEE2E2"/>
      </x:patternFill>
    </x:fill>
    <x:fill>
      <x:patternFill patternType="solid">
        <x:fgColor rgb="FFFEF3C7"/>
      </x:patternFill>
    </x:fill>
  </x:fills>
  <x:borders count="13">
    <x:border/>
    <x:border>
      <x:left style="thin">
        <x:color rgb="FF163A5F"/>
      </x:left>
      <x:top style="thin">
        <x:color rgb="FF163A5F"/>
      </x:top>
      <x:bottom style="thin">
        <x:color rgb="FF163A5F"/>
      </x:bottom>
    </x:border>
    <x:border>
      <x:top style="thin">
        <x:color rgb="FF163A5F"/>
      </x:top>
      <x:bottom style="thin">
        <x:color rgb="FF163A5F"/>
      </x:bottom>
    </x:border>
    <x:border>
      <x:right style="thin">
        <x:color rgb="FF163A5F"/>
      </x:right>
      <x:top style="thin">
        <x:color rgb="FF163A5F"/>
      </x:top>
      <x:bottom style="thin">
        <x:color rgb="FF163A5F"/>
      </x:bottom>
    </x:border>
    <x:border>
      <x:right style="thin">
        <x:color rgb="FFD5DEE8"/>
      </x:right>
      <x:bottom style="thin">
        <x:color rgb="FFD5DEE8"/>
      </x:bottom>
    </x:border>
    <x:border>
      <x:left style="thin">
        <x:color rgb="FFD5DEE8"/>
      </x:left>
      <x:right style="thin">
        <x:color rgb="FFD5DEE8"/>
      </x:right>
      <x:bottom style="thin">
        <x:color rgb="FFD5DEE8"/>
      </x:bottom>
    </x:border>
    <x:border>
      <x:left style="thin">
        <x:color rgb="FFD5DEE8"/>
      </x:left>
      <x:bottom style="thin">
        <x:color rgb="FFD5DEE8"/>
      </x:bottom>
    </x:border>
    <x:border>
      <x:right style="thin">
        <x:color rgb="FFD5DEE8"/>
      </x:right>
      <x:top style="thin">
        <x:color rgb="FFD5DEE8"/>
      </x:top>
      <x:bottom style="thin">
        <x:color rgb="FFD5DEE8"/>
      </x:bottom>
    </x:border>
    <x:border>
      <x:left style="thin">
        <x:color rgb="FFD5DEE8"/>
      </x:left>
      <x:right style="thin">
        <x:color rgb="FFD5DEE8"/>
      </x:right>
      <x:top style="thin">
        <x:color rgb="FFD5DEE8"/>
      </x:top>
      <x:bottom style="thin">
        <x:color rgb="FFD5DEE8"/>
      </x:bottom>
    </x:border>
    <x:border>
      <x:left style="thin">
        <x:color rgb="FFD5DEE8"/>
      </x:left>
      <x:top style="thin">
        <x:color rgb="FFD5DEE8"/>
      </x:top>
      <x:bottom style="thin">
        <x:color rgb="FFD5DEE8"/>
      </x:bottom>
    </x:border>
    <x:border>
      <x:right style="thin">
        <x:color rgb="FFD5DEE8"/>
      </x:right>
      <x:top style="thin">
        <x:color rgb="FFD5DEE8"/>
      </x:top>
    </x:border>
    <x:border>
      <x:left style="thin">
        <x:color rgb="FFD5DEE8"/>
      </x:left>
      <x:right style="thin">
        <x:color rgb="FFD5DEE8"/>
      </x:right>
      <x:top style="thin">
        <x:color rgb="FFD5DEE8"/>
      </x:top>
    </x:border>
    <x:border>
      <x:left style="thin">
        <x:color rgb="FFD5DEE8"/>
      </x:left>
      <x:top style="thin">
        <x:color rgb="FFD5DEE8"/>
      </x:top>
    </x:border>
  </x:borders>
  <x:cellStyleXfs count="1">
    <x:xf numFmtId="0" fontId="0" fillId="0" borderId="0"/>
  </x:cellStyleXfs>
  <x:cellXfs count="5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1" xfId="0" applyNumberFormat="1" applyFont="1" applyFill="1" applyBorder="1" applyAlignment="1">
      <x:alignment vertical="center" wrapText="1"/>
    </x:xf>
    <x:xf numFmtId="0" fontId="4" fillId="5" borderId="2" xfId="0" applyNumberFormat="1" applyFont="1" applyFill="1" applyBorder="1" applyAlignment="1">
      <x:alignment vertical="center" wrapText="1"/>
    </x:xf>
    <x:xf numFmtId="0" fontId="4" fillId="5" borderId="3"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 borderId="0" xfId="0" applyNumberFormat="1" applyFont="1" applyFill="1" applyBorder="1"/>
    <x:xf numFmtId="0" fontId="0" fillId="6" borderId="0" xfId="0" applyNumberFormat="1" applyFont="1" applyFill="1" applyBorder="1" applyAlignment="1">
      <x:alignment wrapText="1"/>
    </x:xf>
    <x:xf numFmtId="0" fontId="0" fillId="6" borderId="0" xfId="0" applyNumberFormat="1" applyFont="1" applyFill="1" applyBorder="1" applyAlignment="1">
      <x:alignment vertical="top" wrapText="1"/>
    </x:xf>
    <x:xf numFmtId="0" fontId="5" fillId="4" borderId="0" xfId="0" applyNumberFormat="1" applyFont="1" applyFill="1" applyBorder="1"/>
    <x:xf numFmtId="200" fontId="5" fillId="4" borderId="0" xfId="0" applyNumberFormat="1" applyFont="1" applyFill="1" applyBorder="1"/>
    <x:xf numFmtId="201" fontId="0" fillId="6" borderId="0" xfId="0" applyNumberFormat="1" applyFont="1" applyFill="1" applyBorder="1" applyAlignment="1">
      <x:alignment vertical="top" wrapText="1"/>
    </x:xf>
    <x:xf numFmtId="202" fontId="0" fillId="0" borderId="0" xfId="0" applyNumberFormat="1" applyFont="1" applyFill="1" applyBorder="1"/>
    <x:xf numFmtId="0" fontId="0" fillId="0" borderId="4" xfId="0" applyNumberFormat="1" applyFont="1" applyFill="1" applyBorder="1"/>
    <x:xf numFmtId="0" fontId="0" fillId="0" borderId="5" xfId="0" applyNumberFormat="1" applyFont="1" applyFill="1" applyBorder="1"/>
    <x:xf numFmtId="202"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202"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202" fontId="0" fillId="0" borderId="11" xfId="0" applyNumberFormat="1" applyFont="1" applyFill="1" applyBorder="1"/>
    <x:xf numFmtId="0" fontId="0" fillId="0" borderId="12" xfId="0" applyNumberFormat="1" applyFont="1" applyFill="1" applyBorder="1"/>
    <x:xf numFmtId="0" fontId="3" fillId="6" borderId="0" xfId="0" applyNumberFormat="1" applyFont="1" applyFill="1" applyBorder="1"/>
    <x:xf numFmtId="202" fontId="3" fillId="6" borderId="0" xfId="0" applyNumberFormat="1" applyFont="1" applyFill="1" applyBorder="1"/>
    <x:xf numFmtId="200" fontId="3" fillId="6" borderId="0" xfId="0" applyNumberFormat="1" applyFont="1" applyFill="1" applyBorder="1"/>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201" fontId="0" fillId="0" borderId="0" xfId="0" applyNumberFormat="1" applyFont="1" applyFill="1" applyBorder="1"/>
    <x:xf numFmtId="200" fontId="0" fillId="0" borderId="0" xfId="0" applyNumberFormat="1" applyFont="1" applyFill="1" applyBorder="1"/>
    <x:xf numFmtId="0" fontId="1" fillId="2" borderId="0" xfId="0" applyNumberFormat="1" applyFont="1" applyFill="1" applyBorder="1" applyAlignment="1">
      <x:alignment horizontal="lef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cellXfs>
  <x:cellStyles count="1">
    <x:cellStyle name="Normal" xfId="0"/>
  </x:cellStyles>
  <x:dxfs count="6">
    <x:dxf>
      <x:font>
        <x:b/>
        <x:color rgb="FF166534"/>
      </x:font>
      <x:fill>
        <x:patternFill patternType="solid">
          <x:bgColor rgb="FFDCFCE7"/>
        </x:patternFill>
      </x:fill>
    </x:dxf>
    <x:dxf>
      <x:font>
        <x:b/>
        <x:color rgb="FF991B1B"/>
      </x:font>
      <x:fill>
        <x:patternFill patternType="solid">
          <x:bgColor rgb="FFFEE2E2"/>
        </x:patternFill>
      </x:fill>
    </x:dxf>
    <x:dxf>
      <x:font>
        <x:b/>
        <x:color rgb="FF92400E"/>
      </x:font>
      <x:fill>
        <x:patternFill patternType="solid">
          <x:bgColor rgb="FFFEF3C7"/>
        </x:patternFill>
      </x:fill>
    </x:dxf>
    <x:dxf>
      <x:font>
        <x:color rgb="FF64748B"/>
      </x:font>
      <x:fill>
        <x:patternFill patternType="solid">
          <x:bgColor rgb="FFF4F6F9"/>
        </x:patternFill>
      </x:fill>
    </x:dxf>
    <x:dxf>
      <x:font>
        <x:b/>
        <x:color rgb="FF991B1B"/>
      </x:font>
      <x:fill>
        <x:patternFill patternType="solid">
          <x:bgColor rgb="FFFEE2E2"/>
        </x:patternFill>
      </x:fill>
    </x:dxf>
    <x:dxf>
      <x:font>
        <x:b/>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61437762a34d03" /><Relationship Type="http://schemas.openxmlformats.org/officeDocument/2006/relationships/theme" Target="/xl/theme/theme1.xml" Id="Rff881ba66d344809" /><Relationship Type="http://schemas.openxmlformats.org/officeDocument/2006/relationships/sharedStrings" Target="/xl/sharedStrings.xml" Id="R7fd77afa0b8d4b6f" /><Relationship Type="http://schemas.openxmlformats.org/officeDocument/2006/relationships/worksheet" Target="/xl/worksheets/sheet1.xml" Id="Rd2b6a18525c9494b" /><Relationship Type="http://schemas.openxmlformats.org/officeDocument/2006/relationships/worksheet" Target="/xl/worksheets/sheet2.xml" Id="Red225f719f9541c2" /><Relationship Type="http://schemas.openxmlformats.org/officeDocument/2006/relationships/worksheet" Target="/xl/worksheets/sheet3.xml" Id="Reca6d2e69bb443f5" /><Relationship Type="http://schemas.openxmlformats.org/officeDocument/2006/relationships/worksheet" Target="/xl/worksheets/sheet4.xml" Id="Ra9d2a658d3fe4016" /><Relationship Type="http://schemas.openxmlformats.org/officeDocument/2006/relationships/worksheet" Target="/xl/worksheets/sheet5.xml" Id="R3e6b161dff014224" /><Relationship Type="http://schemas.openxmlformats.org/officeDocument/2006/relationships/worksheet" Target="/xl/worksheets/sheet6.xml" Id="R709db34dd1f14d92" /><Relationship Type="http://schemas.openxmlformats.org/officeDocument/2006/relationships/worksheet" Target="/xl/worksheets/sheet7.xml" Id="Rb85c552bdd9d41f9" /><Relationship Type="http://schemas.openxmlformats.org/officeDocument/2006/relationships/worksheet" Target="/xl/worksheets/sheet8.xml" Id="R3c630599504c4306"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03f3b3e05241e4" /><Relationship Type="http://schemas.openxmlformats.org/officeDocument/2006/relationships/chart" Target="/xl/drawings/charts/chart2.xml" Id="Rbfc7b734e5bb45e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Test Status Distribution</a:t>
            </a:r>
          </a:p>
        </c:rich>
      </c:tx>
      <c:overlay val="0"/>
    </c:title>
    <c:plotArea>
      <c:doughnutChart>
        <c:ser>
          <c:idx val="0"/>
          <c:order val="0"/>
          <c:tx>
            <c:v>Count</c:v>
          </c:tx>
          <c:cat>
            <c:strRef>
              <c:f>'Release Dashboard'!$A$16:$A$20</c:f>
              <c:strCache>
                <c:ptCount val="0"/>
              </c:strCache>
            </c:strRef>
          </c:cat>
          <c:val>
            <c:numRef>
              <c:f>'Release Dashboard'!$B$16:$B$20</c:f>
              <c:numCache>
                <c:formatCode>General</c:formatCode>
                <c:ptCount val="0"/>
              </c:numCache>
            </c:numRef>
          </c:val>
        </c:ser>
      </c:doughnutChart>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Execution and Pass Rate by Level</a:t>
            </a:r>
          </a:p>
        </c:rich>
      </c:tx>
      <c:overlay val="0"/>
    </c:title>
    <c:plotArea>
      <c:barChart>
        <c:barDir val="col"/>
        <c:varyColors val="0"/>
        <c:ser>
          <c:idx val="0"/>
          <c:order val="0"/>
          <c:tx>
            <c:v>Execution</c:v>
          </c:tx>
          <c:cat>
            <c:strRef>
              <c:f>'Release Dashboard'!$D$16:$D$18</c:f>
              <c:strCache>
                <c:ptCount val="0"/>
              </c:strCache>
            </c:strRef>
          </c:cat>
          <c:val>
            <c:numRef>
              <c:f>'Release Dashboard'!$E$16:$E$18</c:f>
              <c:numCache>
                <c:formatCode>0%</c:formatCode>
                <c:ptCount val="0"/>
              </c:numCache>
            </c:numRef>
          </c:val>
        </c:ser>
        <c:ser>
          <c:idx val="1"/>
          <c:order val="1"/>
          <c:tx>
            <c:v>Pass</c:v>
          </c:tx>
          <c:cat>
            <c:strRef>
              <c:f>'Release Dashboard'!$D$16:$D$18</c:f>
              <c:strCache>
                <c:ptCount val="0"/>
              </c:strCache>
            </c:strRef>
          </c:cat>
          <c:val>
            <c:numRef>
              <c:f>'Release Dashboard'!$F$16:$F$18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max val="1"/>
          <c:min val="0"/>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21</xdr:row>
      <xdr:rowOff>0</xdr:rowOff>
    </xdr:from>
    <xdr:to>
      <xdr:col>4</xdr:col>
      <xdr:colOff>0</xdr:colOff>
      <xdr:row>38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03f3b3e05241e4"/>
        </a:graphicData>
      </a:graphic>
    </xdr:graphicFrame>
    <xdr:clientData/>
  </xdr:twoCellAnchor>
  <xdr:twoCellAnchor>
    <xdr:from>
      <xdr:col>4</xdr:col>
      <xdr:colOff>0</xdr:colOff>
      <xdr:row>21</xdr:row>
      <xdr:rowOff>0</xdr:rowOff>
    </xdr:from>
    <xdr:to>
      <xdr:col>11</xdr:col>
      <xdr:colOff>0</xdr:colOff>
      <xdr:row>38</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fc7b734e5bb45ef"/>
        </a:graphicData>
      </a:graphic>
    </xdr:graphicFrame>
    <xdr:clientData/>
  </xdr:twoCellAnchor>
</xdr:wsDr>
</file>

<file path=xl/tables/table1.xml><?xml version="1.0" encoding="utf-8"?>
<x:table xmlns:x="http://schemas.openxmlformats.org/spreadsheetml/2006/main" id="1" name="LimsTestCases" displayName="LimsTestCases" ref="A5:AE309" headerRowCount="1" totalsRowCount="0" totalsRowShown="0">
  <x:autoFilter ref="A5:AE309"/>
  <x:tableColumns count="31">
    <x:tableColumn id="1" name="Case ID"/>
    <x:tableColumn id="2" name="Level"/>
    <x:tableColumn id="3" name="Module"/>
    <x:tableColumn id="4" name="Submodule"/>
    <x:tableColumn id="5" name="Scenario"/>
    <x:tableColumn id="6" name="Test Type"/>
    <x:tableColumn id="7" name="Role"/>
    <x:tableColumn id="8" name="Priority"/>
    <x:tableColumn id="9" name="Release Gate"/>
    <x:tableColumn id="10" name="Gap Covered"/>
    <x:tableColumn id="11" name="Preconditions"/>
    <x:tableColumn id="12" name="Test Data"/>
    <x:tableColumn id="13" name="Steps"/>
    <x:tableColumn id="14" name="Expected Result"/>
    <x:tableColumn id="15" name="Status"/>
    <x:tableColumn id="16" name="Actual Result"/>
    <x:tableColumn id="17" name="Defect ID"/>
    <x:tableColumn id="18" name="Defect Severity"/>
    <x:tableColumn id="19" name="Defect Status"/>
    <x:tableColumn id="20" name="Tester"/>
    <x:tableColumn id="21" name="Environment"/>
    <x:tableColumn id="22" name="Build"/>
    <x:tableColumn id="23" name="Execution Date"/>
    <x:tableColumn id="24" name="Evidence Link"/>
    <x:tableColumn id="25" name="Retest Status"/>
    <x:tableColumn id="26" name="Comments"/>
    <x:tableColumn id="27" name="Executed Flag"/>
    <x:tableColumn id="28" name="Pass Flag"/>
    <x:tableColumn id="29" name="Open Blocker"/>
    <x:tableColumn id="30" name="Evidence Flag"/>
    <x:tableColumn id="31" name="Gap Flag"/>
  </x:tableColumns>
  <x:tableStyleInfo name="TableStyleMedium2" showFirstColumn="0" showLastColumn="0" showRowStripes="1" showColumnStripes="0"/>
</x:table>
</file>

<file path=xl/tables/table2.xml><?xml version="1.0" encoding="utf-8"?>
<x:table xmlns:x="http://schemas.openxmlformats.org/spreadsheetml/2006/main" id="2" name="LimsDefects" displayName="LimsDefects" ref="A4:Q5" headerRowCount="1" totalsRowCount="0" totalsRowShown="0">
  <x:tableColumns count="17">
    <x:tableColumn id="1" name="Defect ID"/>
    <x:tableColumn id="2" name="Test Case ID"/>
    <x:tableColumn id="3" name="Level"/>
    <x:tableColumn id="4" name="Module"/>
    <x:tableColumn id="5" name="Summary"/>
    <x:tableColumn id="6" name="Severity"/>
    <x:tableColumn id="7" name="Status"/>
    <x:tableColumn id="8" name="Owner"/>
    <x:tableColumn id="9" name="Opened Date"/>
    <x:tableColumn id="10" name="Target Date"/>
    <x:tableColumn id="11" name="Closed Date"/>
    <x:tableColumn id="12" name="Age Days"/>
    <x:tableColumn id="13" name="Root Cause"/>
    <x:tableColumn id="14" name="Fix Build"/>
    <x:tableColumn id="15" name="Retest Result"/>
    <x:tableColumn id="16" name="Evidence"/>
    <x:tableColumn id="17" name="Comments"/>
  </x:tableColumns>
  <x:tableStyleInfo name="TableStyleMedium2" showFirstColumn="0" showLastColumn="0" showRowStripes="1" showColumnStripes="0"/>
</x:table>
</file>

<file path=xl/tables/table3.xml><?xml version="1.0" encoding="utf-8"?>
<x:table xmlns:x="http://schemas.openxmlformats.org/spreadsheetml/2006/main" id="3" name="LimsTestRuns" displayName="LimsTestRuns" ref="A4:N5" headerRowCount="1" totalsRowCount="0" totalsRowShown="0">
  <x:tableColumns count="14">
    <x:tableColumn id="1" name="Run ID"/>
    <x:tableColumn id="2" name="Build"/>
    <x:tableColumn id="3" name="Environment"/>
    <x:tableColumn id="4" name="Level"/>
    <x:tableColumn id="5" name="Start Date"/>
    <x:tableColumn id="6" name="End Date"/>
    <x:tableColumn id="7" name="Lead"/>
    <x:tableColumn id="8" name="Scope"/>
    <x:tableColumn id="9" name="Total"/>
    <x:tableColumn id="10" name="Executed"/>
    <x:tableColumn id="11" name="Passed"/>
    <x:tableColumn id="12" name="Failed"/>
    <x:tableColumn id="13" name="Blocked"/>
    <x:tableColumn id="14" name="Decision /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36565f7539764254" /></Relationships>
</file>

<file path=xl/worksheets/_rels/sheet2.xml.rels>&#65279;<?xml version="1.0" encoding="utf-8"?><Relationships xmlns="http://schemas.openxmlformats.org/package/2006/relationships"><Relationship Type="http://schemas.openxmlformats.org/officeDocument/2006/relationships/table" Target="/xl/tables/table1.xml" Id="R1eb987025ef04056" /></Relationships>
</file>

<file path=xl/worksheets/_rels/sheet5.xml.rels>&#65279;<?xml version="1.0" encoding="utf-8"?><Relationships xmlns="http://schemas.openxmlformats.org/package/2006/relationships"><Relationship Type="http://schemas.openxmlformats.org/officeDocument/2006/relationships/table" Target="/xl/tables/table2.xml" Id="Rf77f4534cf4c440d" /></Relationships>
</file>

<file path=xl/worksheets/_rels/sheet6.xml.rels>&#65279;<?xml version="1.0" encoding="utf-8"?><Relationships xmlns="http://schemas.openxmlformats.org/package/2006/relationships"><Relationship Type="http://schemas.openxmlformats.org/officeDocument/2006/relationships/table" Target="/xl/tables/table3.xml" Id="R8401f516cb714b68"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3" hidden="0" customWidth="1"/>
    <x:col min="4" max="4" width="24" hidden="0" customWidth="1"/>
    <x:col min="5" max="5" width="14" hidden="0" customWidth="1"/>
    <x:col min="6" max="6" width="12" hidden="0" customWidth="1"/>
    <x:col min="7" max="7" width="24" hidden="0" customWidth="1"/>
    <x:col min="8" max="8" width="22" hidden="0" customWidth="1"/>
  </x:cols>
  <x:sheetData>
    <x:row r="1" ht="34" customHeight="1">
      <x:c r="A1" s="4" t="str">
        <x:v>LIMS RELEASE TESTING DASHBOARD</x:v>
      </x:c>
      <x:c r="B1" s="4" t="str">
        <x:v>LIMS RELEASE TESTING DASHBOARD</x:v>
      </x:c>
      <x:c r="C1" s="4" t="str">
        <x:v>LIMS RELEASE TESTING DASHBOARD</x:v>
      </x:c>
      <x:c r="D1" s="4" t="str">
        <x:v>LIMS RELEASE TESTING DASHBOARD</x:v>
      </x:c>
      <x:c r="E1" s="4" t="str">
        <x:v>LIMS RELEASE TESTING DASHBOARD</x:v>
      </x:c>
      <x:c r="F1" s="4" t="str">
        <x:v>LIMS RELEASE TESTING DASHBOARD</x:v>
      </x:c>
      <x:c r="G1" s="4" t="str">
        <x:v>LIMS RELEASE TESTING DASHBOARD</x:v>
      </x:c>
      <x:c r="H1" s="4" t="str">
        <x:v>LIMS RELEASE TESTING DASHBOARD</x:v>
      </x:c>
    </x:row>
    <x:row r="2" ht="28" customHeight="1">
      <x:c r="A2" s="7" t="str">
        <x:v>100% readiness plus all release gates is required for READY FOR SALES.</x:v>
      </x:c>
      <x:c r="B2" s="7" t="str">
        <x:v>100% readiness plus all release gates is required for READY FOR SALES.</x:v>
      </x:c>
      <x:c r="C2" s="7" t="str">
        <x:v>100% readiness plus all release gates is required for READY FOR SALES.</x:v>
      </x:c>
      <x:c r="D2" s="7" t="str">
        <x:v>100% readiness plus all release gates is required for READY FOR SALES.</x:v>
      </x:c>
      <x:c r="E2" s="7" t="str">
        <x:v>100% readiness plus all release gates is required for READY FOR SALES.</x:v>
      </x:c>
      <x:c r="F2" s="7" t="str">
        <x:v>100% readiness plus all release gates is required for READY FOR SALES.</x:v>
      </x:c>
      <x:c r="G2" s="7" t="str">
        <x:v>100% readiness plus all release gates is required for READY FOR SALES.</x:v>
      </x:c>
      <x:c r="H2" s="7" t="str">
        <x:v>100% readiness plus all release gates is required for READY FOR SALES.</x:v>
      </x:c>
    </x:row>
    <x:row r="3" ht="30" customHeight="1">
      <x:c r="A3" s="19" t="str">
        <x:v>Release thresholds (editable)</x:v>
      </x:c>
      <x:c r="B3" s="21" t="str">
        <x:v>Target</x:v>
      </x:c>
      <x:c r="D3" s="19" t="str">
        <x:v>Execution KPIs</x:v>
      </x:c>
      <x:c r="E3" s="21" t="str">
        <x:v>Value</x:v>
      </x:c>
      <x:c r="G3" s="19" t="str">
        <x:v>Readiness KPIs</x:v>
      </x:c>
      <x:c r="H3" s="21" t="str">
        <x:v>Value</x:v>
      </x:c>
    </x:row>
    <x:row r="4">
      <x:c r="A4" t="str">
        <x:v>Sales Readiness Target</x:v>
      </x:c>
      <x:c r="B4" s="44" t="n">
        <x:v>1</x:v>
      </x:c>
      <x:c r="D4" t="str">
        <x:v>Total Cases</x:v>
      </x:c>
      <x:c r="E4" t="n">
        <x:f>COUNTA('Test Cases'!$A$6:$A$309)</x:f>
        <x:v>304</x:v>
      </x:c>
      <x:c r="G4" t="str">
        <x:v>Overall Execution</x:v>
      </x:c>
      <x:c r="H4" s="30" t="n">
        <x:f>IFERROR(E5/(E4-E10),0)</x:f>
        <x:v>0</x:v>
      </x:c>
    </x:row>
    <x:row r="5">
      <x:c r="A5" t="str">
        <x:v>Level 1 Execution</x:v>
      </x:c>
      <x:c r="B5" s="44" t="n">
        <x:v>1</x:v>
      </x:c>
      <x:c r="D5" t="str">
        <x:v>Executed</x:v>
      </x:c>
      <x:c r="E5" t="n">
        <x:f>SUM('Test Cases'!$AA$6:$AA$309)</x:f>
        <x:v>0</x:v>
      </x:c>
      <x:c r="G5" t="str">
        <x:v>Overall Pass</x:v>
      </x:c>
      <x:c r="H5" s="30" t="n">
        <x:f>IFERROR(E6/E5,0)</x:f>
        <x:v>0</x:v>
      </x:c>
    </x:row>
    <x:row r="6">
      <x:c r="A6" t="str">
        <x:v>Level 1 Pass</x:v>
      </x:c>
      <x:c r="B6" s="44" t="n">
        <x:v>1</x:v>
      </x:c>
      <x:c r="D6" t="str">
        <x:v>Passed</x:v>
      </x:c>
      <x:c r="E6" t="n">
        <x:f>SUM('Test Cases'!$AB$6:$AB$309)</x:f>
        <x:v>0</x:v>
      </x:c>
      <x:c r="G6" t="str">
        <x:v>Gate Evidence</x:v>
      </x:c>
      <x:c r="H6" s="30" t="n">
        <x:f>IFERROR(SUMIFS('Test Cases'!$AD$6:$AD$309,'Test Cases'!$I$6:$I$309,"Yes")/COUNTIF('Test Cases'!$I$6:$I$309,"Yes"),0)</x:f>
        <x:v>0</x:v>
      </x:c>
    </x:row>
    <x:row r="7">
      <x:c r="A7" t="str">
        <x:v>Level 2 Execution</x:v>
      </x:c>
      <x:c r="B7" s="44" t="n">
        <x:v>0.95</x:v>
      </x:c>
      <x:c r="D7" t="str">
        <x:v>Failed</x:v>
      </x:c>
      <x:c r="E7" t="n">
        <x:f>COUNTIF('Test Cases'!$O$6:$O$309,"Failed")</x:f>
        <x:v>0</x:v>
      </x:c>
      <x:c r="G7" t="str">
        <x:v>Level 3 Execution</x:v>
      </x:c>
      <x:c r="H7" s="30" t="n">
        <x:f>'Level Summary'!H8</x:f>
        <x:v>0</x:v>
      </x:c>
    </x:row>
    <x:row r="8">
      <x:c r="A8" t="str">
        <x:v>Level 2 Pass</x:v>
      </x:c>
      <x:c r="B8" s="44" t="n">
        <x:v>0.95</x:v>
      </x:c>
      <x:c r="D8" t="str">
        <x:v>Blocked</x:v>
      </x:c>
      <x:c r="E8" t="n">
        <x:f>COUNTIF('Test Cases'!$O$6:$O$309,"Blocked")</x:f>
        <x:v>0</x:v>
      </x:c>
      <x:c r="G8" t="str">
        <x:v>Level 3 Pass</x:v>
      </x:c>
      <x:c r="H8" s="30" t="n">
        <x:f>'Level Summary'!I8</x:f>
        <x:v>0</x:v>
      </x:c>
    </x:row>
    <x:row r="9">
      <x:c r="A9" t="str">
        <x:v>Level 3 Execution</x:v>
      </x:c>
      <x:c r="B9" s="44" t="n">
        <x:v>1</x:v>
      </x:c>
      <x:c r="D9" t="str">
        <x:v>Not Run</x:v>
      </x:c>
      <x:c r="E9" t="n">
        <x:f>COUNTIF('Test Cases'!$O$6:$O$309,"Not Run")</x:f>
        <x:v>304</x:v>
      </x:c>
      <x:c r="G9" t="str">
        <x:v>Readiness Score</x:v>
      </x:c>
      <x:c r="H9" s="30" t="n">
        <x:f>IF(E5=0,0,MIN(1,'Level Summary'!H6/$B$5)*10%+MIN(1,'Level Summary'!I6/$B$6)*10%+MIN(1,'Level Summary'!H7/$B$7)*15%+MIN(1,'Level Summary'!I7/$B$8)*15%+MIN(1,'Level Summary'!H8/$B$9)*20%+MIN(1,'Level Summary'!I8/$B$10)*20%+MIN(1,H6/$B$11)*5%+IF(E11&lt;=$B$12,5%,0))</x:f>
        <x:v>0</x:v>
      </x:c>
    </x:row>
    <x:row r="10">
      <x:c r="A10" t="str">
        <x:v>Level 3 Pass</x:v>
      </x:c>
      <x:c r="B10" s="44" t="n">
        <x:v>0.98</x:v>
      </x:c>
      <x:c r="D10" t="str">
        <x:v>N/A</x:v>
      </x:c>
      <x:c r="E10" t="n">
        <x:f>COUNTIF('Test Cases'!$O$6:$O$309,"N/A")</x:f>
        <x:v>0</x:v>
      </x:c>
      <x:c r="G10" t="str">
        <x:v>Sales Status</x:v>
      </x:c>
      <x:c r="H10" s="48" t="str">
        <x:f>IF(AND(H9&gt;=$B$4,'Level Summary'!H6&gt;=$B$5,'Level Summary'!I6&gt;=$B$6,'Level Summary'!H7&gt;=$B$7,'Level Summary'!I7&gt;=$B$8,'Level Summary'!H8&gt;=$B$9,'Level Summary'!I8&gt;=$B$10,H6&gt;=$B$11,E11&lt;=$B$12),"READY FOR SALES","NOT READY FOR SALES")</x:f>
        <x:v>NOT READY FOR SALES</x:v>
      </x:c>
    </x:row>
    <x:row r="11">
      <x:c r="A11" t="str">
        <x:v>Gate Evidence</x:v>
      </x:c>
      <x:c r="B11" s="44" t="n">
        <x:v>1</x:v>
      </x:c>
      <x:c r="D11" t="str">
        <x:v>Open Critical/High</x:v>
      </x:c>
      <x:c r="E11" t="n">
        <x:f>SUM('Test Cases'!$AC$6:$AC$309)</x:f>
        <x:v>0</x:v>
      </x:c>
    </x:row>
    <x:row r="12">
      <x:c r="A12" t="str">
        <x:v>Max Open Critical/High</x:v>
      </x:c>
      <x:c r="B12" s="45" t="n">
        <x:v>0</x:v>
      </x:c>
      <x:c r="D12" t="str">
        <x:v>Gate Cases Without Evidence</x:v>
      </x:c>
      <x:c r="E12" t="n">
        <x:f>COUNTIFS('Test Cases'!$I$6:$I$309,"Yes",'Test Cases'!$AD$6:$AD$309,0)</x:f>
        <x:v>148</x:v>
      </x:c>
    </x:row>
    <x:row r="15" ht="30" customHeight="1">
      <x:c r="A15" s="19" t="str">
        <x:v>Status</x:v>
      </x:c>
      <x:c r="B15" s="21" t="str">
        <x:v>Count</x:v>
      </x:c>
      <x:c r="D15" s="19" t="str">
        <x:v>Level</x:v>
      </x:c>
      <x:c r="E15" s="20" t="str">
        <x:v>Execution</x:v>
      </x:c>
      <x:c r="F15" s="21" t="str">
        <x:v>Pass</x:v>
      </x:c>
    </x:row>
    <x:row r="16">
      <x:c r="A16" t="str">
        <x:v>Passed</x:v>
      </x:c>
      <x:c r="B16" t="n">
        <x:f>COUNTIF('Test Cases'!$O$6:$O$309,A16)</x:f>
        <x:v>0</x:v>
      </x:c>
      <x:c r="D16" t="str">
        <x:v>Level 1</x:v>
      </x:c>
      <x:c r="E16" s="30" t="n">
        <x:f>'Level Summary'!H6</x:f>
        <x:v>0</x:v>
      </x:c>
      <x:c r="F16" s="30" t="n">
        <x:f>'Level Summary'!I6</x:f>
        <x:v>0</x:v>
      </x:c>
    </x:row>
    <x:row r="17">
      <x:c r="A17" t="str">
        <x:v>Failed</x:v>
      </x:c>
      <x:c r="B17" t="n">
        <x:f>COUNTIF('Test Cases'!$O$6:$O$309,A17)</x:f>
        <x:v>0</x:v>
      </x:c>
      <x:c r="D17" t="str">
        <x:v>Level 2</x:v>
      </x:c>
      <x:c r="E17" s="30" t="n">
        <x:f>'Level Summary'!H7</x:f>
        <x:v>0</x:v>
      </x:c>
      <x:c r="F17" s="30" t="n">
        <x:f>'Level Summary'!I7</x:f>
        <x:v>0</x:v>
      </x:c>
    </x:row>
    <x:row r="18">
      <x:c r="A18" t="str">
        <x:v>Blocked</x:v>
      </x:c>
      <x:c r="B18" t="n">
        <x:f>COUNTIF('Test Cases'!$O$6:$O$309,A18)</x:f>
        <x:v>0</x:v>
      </x:c>
      <x:c r="D18" t="str">
        <x:v>Level 3</x:v>
      </x:c>
      <x:c r="E18" s="30" t="n">
        <x:f>'Level Summary'!H8</x:f>
        <x:v>0</x:v>
      </x:c>
      <x:c r="F18" s="30" t="n">
        <x:f>'Level Summary'!I8</x:f>
        <x:v>0</x:v>
      </x:c>
    </x:row>
    <x:row r="19">
      <x:c r="A19" t="str">
        <x:v>Not Run</x:v>
      </x:c>
      <x:c r="B19" t="n">
        <x:f>COUNTIF('Test Cases'!$O$6:$O$309,A19)</x:f>
        <x:v>304</x:v>
      </x:c>
    </x:row>
    <x:row r="20">
      <x:c r="A20" t="str">
        <x:v>N/A</x:v>
      </x:c>
      <x:c r="B20" t="n">
        <x:f>COUNTIF('Test Cases'!$O$6:$O$309,A20)</x:f>
        <x:v>0</x:v>
      </x:c>
    </x:row>
  </x:sheetData>
  <x:mergeCells>
    <x:mergeCell ref="A1:H1"/>
    <x:mergeCell ref="A2:H2"/>
  </x:mergeCells>
  <x:conditionalFormatting sqref="H10:H10">
    <x:cfRule type="expression" dxfId="5" priority="1">
      <x:formula>$H$10="READY FOR SALES"</x:formula>
    </x:cfRule>
  </x:conditionalFormatting>
  <x:pageMargins left="0.7" right="0.7" top="0.75" bottom="0.75" header="0.3" footer="0.3"/>
  <x:drawing xmlns:r="http://schemas.openxmlformats.org/officeDocument/2006/relationships" r:id="R36565f7539764254"/>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1" hidden="0" customWidth="1"/>
    <x:col min="3" max="3" width="24" hidden="0" customWidth="1"/>
    <x:col min="4" max="4" width="16" hidden="0" customWidth="1"/>
    <x:col min="5" max="5" width="32" hidden="0" customWidth="1"/>
    <x:col min="6" max="6" width="15" hidden="0" customWidth="1"/>
    <x:col min="7" max="7" width="22" hidden="0" customWidth="1"/>
    <x:col min="8" max="8" width="11" hidden="0" customWidth="1"/>
    <x:col min="9" max="9" width="12" hidden="0" customWidth="1"/>
    <x:col min="10" max="10" width="30" hidden="0" customWidth="1"/>
    <x:col min="11" max="11" width="32" hidden="0" customWidth="1"/>
    <x:col min="12" max="12" width="28" hidden="0" customWidth="1"/>
    <x:col min="13" max="13" width="55" hidden="0" customWidth="1"/>
    <x:col min="14" max="14" width="42" hidden="0" customWidth="1"/>
    <x:col min="15" max="15" width="12" hidden="0" customWidth="1"/>
    <x:col min="16" max="16" width="34" hidden="0" customWidth="1"/>
    <x:col min="17" max="17" width="14" hidden="0" customWidth="1"/>
    <x:col min="18" max="18" width="14" hidden="0" customWidth="1"/>
    <x:col min="19" max="19" width="14" hidden="0" customWidth="1"/>
    <x:col min="20" max="20" width="18" hidden="0" customWidth="1"/>
    <x:col min="21" max="21" width="14" hidden="0" customWidth="1"/>
    <x:col min="22" max="22" width="14" hidden="0" customWidth="1"/>
    <x:col min="23" max="23" width="14" hidden="0" customWidth="1"/>
    <x:col min="24" max="24" width="30" hidden="0" customWidth="1"/>
    <x:col min="25" max="25" width="15" hidden="0" customWidth="1"/>
    <x:col min="26" max="26" width="32" hidden="0" customWidth="1"/>
    <x:col min="27" max="27" width="11" hidden="0" customWidth="1"/>
    <x:col min="28" max="28" width="9" hidden="0" customWidth="1"/>
    <x:col min="29" max="29" width="12" hidden="0" customWidth="1"/>
    <x:col min="30" max="30" width="12" hidden="0" customWidth="1"/>
    <x:col min="31" max="31" width="10" hidden="0" customWidth="1"/>
  </x:cols>
  <x:sheetData>
    <x:row r="1" ht="34" customHeight="1">
      <x:c r="A1" s="4" t="str">
        <x:v>LIMS CONSOLIDATED TEST CASE REGISTER</x:v>
      </x:c>
      <x:c r="B1" s="4" t="str">
        <x:v>LIMS CONSOLIDATED TEST CASE REGISTER</x:v>
      </x:c>
      <x:c r="C1" s="4" t="str">
        <x:v>LIMS CONSOLIDATED TEST CASE REGISTER</x:v>
      </x:c>
      <x:c r="D1" s="4" t="str">
        <x:v>LIMS CONSOLIDATED TEST CASE REGISTER</x:v>
      </x:c>
      <x:c r="E1" s="4" t="str">
        <x:v>LIMS CONSOLIDATED TEST CASE REGISTER</x:v>
      </x:c>
      <x:c r="F1" s="4" t="str">
        <x:v>LIMS CONSOLIDATED TEST CASE REGISTER</x:v>
      </x:c>
      <x:c r="G1" s="4" t="str">
        <x:v>LIMS CONSOLIDATED TEST CASE REGISTER</x:v>
      </x:c>
      <x:c r="H1" s="4" t="str">
        <x:v>LIMS CONSOLIDATED TEST CASE REGISTER</x:v>
      </x:c>
    </x:row>
    <x:row r="2" ht="28" customHeight="1">
      <x:c r="A2" s="7" t="str">
        <x:v>Enter results only in the yellow columns. Dashboard and summaries update from formulas.</x:v>
      </x:c>
      <x:c r="B2" s="7" t="str">
        <x:v>Enter results only in the yellow columns. Dashboard and summaries update from formulas.</x:v>
      </x:c>
      <x:c r="C2" s="7" t="str">
        <x:v>Enter results only in the yellow columns. Dashboard and summaries update from formulas.</x:v>
      </x:c>
      <x:c r="D2" s="7" t="str">
        <x:v>Enter results only in the yellow columns. Dashboard and summaries update from formulas.</x:v>
      </x:c>
      <x:c r="E2" s="7" t="str">
        <x:v>Enter results only in the yellow columns. Dashboard and summaries update from formulas.</x:v>
      </x:c>
      <x:c r="F2" s="7" t="str">
        <x:v>Enter results only in the yellow columns. Dashboard and summaries update from formulas.</x:v>
      </x:c>
      <x:c r="G2" s="7" t="str">
        <x:v>Enter results only in the yellow columns. Dashboard and summaries update from formulas.</x:v>
      </x:c>
      <x:c r="H2" s="7" t="str">
        <x:v>Enter results only in the yellow columns. Dashboard and summaries update from formulas.</x:v>
      </x:c>
    </x:row>
    <x:row r="3">
      <x:c r="A3" s="10" t="str">
        <x:v>Levels: 1 = core flow | 2 = detailed functional/integration/gaps | 3 = market-readiness release gate</x:v>
      </x:c>
      <x:c r="B3" s="10" t="str">
        <x:v>Levels: 1 = core flow | 2 = detailed functional/integration/gaps | 3 = market-readiness release gate</x:v>
      </x:c>
      <x:c r="C3" s="10" t="str">
        <x:v>Levels: 1 = core flow | 2 = detailed functional/integration/gaps | 3 = market-readiness release gate</x:v>
      </x:c>
      <x:c r="D3" s="10" t="str">
        <x:v>Levels: 1 = core flow | 2 = detailed functional/integration/gaps | 3 = market-readiness release gate</x:v>
      </x:c>
      <x:c r="E3" s="10" t="str">
        <x:v>Levels: 1 = core flow | 2 = detailed functional/integration/gaps | 3 = market-readiness release gate</x:v>
      </x:c>
      <x:c r="F3" s="10" t="str">
        <x:v>Levels: 1 = core flow | 2 = detailed functional/integration/gaps | 3 = market-readiness release gate</x:v>
      </x:c>
      <x:c r="G3" s="10" t="str">
        <x:v>Levels: 1 = core flow | 2 = detailed functional/integration/gaps | 3 = market-readiness release gate</x:v>
      </x:c>
      <x:c r="H3" s="10" t="str">
        <x:v>Levels: 1 = core flow | 2 = detailed functional/integration/gaps | 3 = market-readiness release gate</x:v>
      </x:c>
      <x:c r="I3" s="10" t="str">
        <x:v>Levels: 1 = core flow | 2 = detailed functional/integration/gaps | 3 = market-readiness release gate</x:v>
      </x:c>
      <x:c r="J3" s="10" t="str">
        <x:v>Levels: 1 = core flow | 2 = detailed functional/integration/gaps | 3 = market-readiness release gate</x:v>
      </x:c>
      <x:c r="K3" s="10" t="str">
        <x:v>Levels: 1 = core flow | 2 = detailed functional/integration/gaps | 3 = market-readiness release gate</x:v>
      </x:c>
      <x:c r="L3" s="10" t="str">
        <x:v>Levels: 1 = core flow | 2 = detailed functional/integration/gaps | 3 = market-readiness release gate</x:v>
      </x:c>
      <x:c r="M3" s="10" t="str">
        <x:v>Levels: 1 = core flow | 2 = detailed functional/integration/gaps | 3 = market-readiness release gate</x:v>
      </x:c>
      <x:c r="N3" s="10" t="str">
        <x:v>Levels: 1 = core flow | 2 = detailed functional/integration/gaps | 3 = market-readiness release gate</x:v>
      </x:c>
      <x:c r="O3" s="10" t="str">
        <x:v>Levels: 1 = core flow | 2 = detailed functional/integration/gaps | 3 = market-readiness release gate</x:v>
      </x:c>
    </x:row>
    <x:row r="5" ht="30" customHeight="1">
      <x:c r="A5" s="19" t="str">
        <x:v>Case ID</x:v>
      </x:c>
      <x:c r="B5" s="20" t="str">
        <x:v>Level</x:v>
      </x:c>
      <x:c r="C5" s="20" t="str">
        <x:v>Module</x:v>
      </x:c>
      <x:c r="D5" s="20" t="str">
        <x:v>Submodule</x:v>
      </x:c>
      <x:c r="E5" s="20" t="str">
        <x:v>Scenario</x:v>
      </x:c>
      <x:c r="F5" s="20" t="str">
        <x:v>Test Type</x:v>
      </x:c>
      <x:c r="G5" s="20" t="str">
        <x:v>Role</x:v>
      </x:c>
      <x:c r="H5" s="20" t="str">
        <x:v>Priority</x:v>
      </x:c>
      <x:c r="I5" s="20" t="str">
        <x:v>Release Gate</x:v>
      </x:c>
      <x:c r="J5" s="20" t="str">
        <x:v>Gap Covered</x:v>
      </x:c>
      <x:c r="K5" s="20" t="str">
        <x:v>Preconditions</x:v>
      </x:c>
      <x:c r="L5" s="20" t="str">
        <x:v>Test Data</x:v>
      </x:c>
      <x:c r="M5" s="20" t="str">
        <x:v>Steps</x:v>
      </x:c>
      <x:c r="N5" s="20" t="str">
        <x:v>Expected Result</x:v>
      </x:c>
      <x:c r="O5" s="20" t="str">
        <x:v>Status</x:v>
      </x:c>
      <x:c r="P5" s="20" t="str">
        <x:v>Actual Result</x:v>
      </x:c>
      <x:c r="Q5" s="20" t="str">
        <x:v>Defect ID</x:v>
      </x:c>
      <x:c r="R5" s="20" t="str">
        <x:v>Defect Severity</x:v>
      </x:c>
      <x:c r="S5" s="20" t="str">
        <x:v>Defect Status</x:v>
      </x:c>
      <x:c r="T5" s="20" t="str">
        <x:v>Tester</x:v>
      </x:c>
      <x:c r="U5" s="20" t="str">
        <x:v>Environment</x:v>
      </x:c>
      <x:c r="V5" s="20" t="str">
        <x:v>Build</x:v>
      </x:c>
      <x:c r="W5" s="20" t="str">
        <x:v>Execution Date</x:v>
      </x:c>
      <x:c r="X5" s="20" t="str">
        <x:v>Evidence Link</x:v>
      </x:c>
      <x:c r="Y5" s="20" t="str">
        <x:v>Retest Status</x:v>
      </x:c>
      <x:c r="Z5" s="20" t="str">
        <x:v>Comments</x:v>
      </x:c>
      <x:c r="AA5" s="20" t="str">
        <x:v>Executed Flag</x:v>
      </x:c>
      <x:c r="AB5" s="20" t="str">
        <x:v>Pass Flag</x:v>
      </x:c>
      <x:c r="AC5" s="20" t="str">
        <x:v>Open Blocker</x:v>
      </x:c>
      <x:c r="AD5" s="20" t="str">
        <x:v>Evidence Flag</x:v>
      </x:c>
      <x:c r="AE5" s="21" t="str">
        <x:v>Gap Flag</x:v>
      </x:c>
    </x:row>
    <x:row r="6">
      <x:c r="A6" s="23" t="str">
        <x:v>L1-001</x:v>
      </x:c>
      <x:c r="B6" s="23" t="str">
        <x:v>Level 1</x:v>
      </x:c>
      <x:c r="C6" s="23" t="str">
        <x:v>Platform</x:v>
      </x:c>
      <x:c r="D6" s="23" t="str"/>
      <x:c r="E6" s="23" t="str">
        <x:v>Provision a lab tenant</x:v>
      </x:c>
      <x:c r="F6" s="23" t="str">
        <x:v>Smoke</x:v>
      </x:c>
      <x:c r="G6" s="23" t="str">
        <x:v>Developer Admin</x:v>
      </x:c>
      <x:c r="H6" s="23" t="str">
        <x:v>High</x:v>
      </x:c>
      <x:c r="I6" s="23" t="str">
        <x:v>Yes</x:v>
      </x:c>
      <x:c r="J6" s="23" t="str">
        <x:v>Included missed flow step</x:v>
      </x:c>
      <x:c r="K6" s="23" t="str">
        <x:v>Required master data and user exist.</x:v>
      </x:c>
      <x:c r="L6" s="23" t="str">
        <x:v>Use dedicated non-production test data.</x:v>
      </x:c>
      <x:c r="M6" s="23" t="str">
        <x:v>1. Sign in as Developer Admin. 2. Create a lab with an active plan and required modules. 3. Save or submit. 4. Refresh or reopen the record. 5. Compare the result with the pass condition.</x:v>
      </x:c>
      <x:c r="N6" s="23" t="str">
        <x:v>The tenant is created, isolated and can open its login page.</x:v>
      </x:c>
      <x:c r="O6" s="26" t="str">
        <x:v>Not Run</x:v>
      </x:c>
      <x:c r="P6" s="26" t="str"/>
      <x:c r="Q6" s="26" t="str"/>
      <x:c r="R6" s="26" t="str"/>
      <x:c r="S6" s="26" t="str"/>
      <x:c r="T6" s="26" t="str"/>
      <x:c r="U6" s="26" t="str">
        <x:v>QA</x:v>
      </x:c>
      <x:c r="V6" s="26" t="str"/>
      <x:c r="W6" s="29" t="str"/>
      <x:c r="X6" s="26" t="str"/>
      <x:c r="Y6" s="26" t="str">
        <x:v>Not Required</x:v>
      </x:c>
      <x:c r="Z6" s="26" t="str"/>
      <x:c r="AA6" s="28" t="n">
        <x:f>IF(OR(O6="Passed",O6="Failed",O6="Blocked"),1,0)</x:f>
        <x:v>0</x:v>
      </x:c>
      <x:c r="AB6" s="28" t="n">
        <x:f>IF(O6="Passed",1,0)</x:f>
        <x:v>0</x:v>
      </x:c>
      <x:c r="AC6" s="28" t="n">
        <x:f>IF(AND(OR(R6="Critical",R6="High"),OR(O6="Failed",O6="Blocked"),S6&lt;&gt;"Closed",S6&lt;&gt;"Rejected"),1,0)</x:f>
        <x:v>0</x:v>
      </x:c>
      <x:c r="AD6" s="28" t="n">
        <x:f>IF(X6&lt;&gt;"",1,0)</x:f>
        <x:v>0</x:v>
      </x:c>
      <x:c r="AE6" s="28" t="n">
        <x:f>IF(J6&lt;&gt;"",1,0)</x:f>
        <x:v>1</x:v>
      </x:c>
    </x:row>
    <x:row r="7">
      <x:c r="A7" s="23" t="str">
        <x:v>L1-002</x:v>
      </x:c>
      <x:c r="B7" s="23" t="str">
        <x:v>Level 1</x:v>
      </x:c>
      <x:c r="C7" s="23" t="str">
        <x:v>Settings/RBAC</x:v>
      </x:c>
      <x:c r="D7" s="23" t="str"/>
      <x:c r="E7" s="23" t="str">
        <x:v>Create the test users</x:v>
      </x:c>
      <x:c r="F7" s="23" t="str">
        <x:v>Smoke</x:v>
      </x:c>
      <x:c r="G7" s="23" t="str">
        <x:v>Admin</x:v>
      </x:c>
      <x:c r="H7" s="23" t="str">
        <x:v>High</x:v>
      </x:c>
      <x:c r="I7" s="23" t="str">
        <x:v>Yes</x:v>
      </x:c>
      <x:c r="J7" s="23" t="str"/>
      <x:c r="K7" s="23" t="str">
        <x:v>Required master data and user exist.</x:v>
      </x:c>
      <x:c r="L7" s="23" t="str">
        <x:v>Use dedicated non-production test data.</x:v>
      </x:c>
      <x:c r="M7" s="23" t="str">
        <x:v>1. Sign in as Admin. 2. Create Admin, Front Desk, Cashier, Phlebotomist, Technician, Pathologist, Accounts and Inventory users. 3. Save or submit. 4. Refresh or reopen the record. 5. Compare the result with the pass condition.</x:v>
      </x:c>
      <x:c r="N7" s="23" t="str">
        <x:v>Every user can sign in and sees only the expected menus.</x:v>
      </x:c>
      <x:c r="O7" s="26" t="str">
        <x:v>Not Run</x:v>
      </x:c>
      <x:c r="P7" s="26" t="str"/>
      <x:c r="Q7" s="26" t="str"/>
      <x:c r="R7" s="26" t="str"/>
      <x:c r="S7" s="26" t="str"/>
      <x:c r="T7" s="26" t="str"/>
      <x:c r="U7" s="26" t="str">
        <x:v>QA</x:v>
      </x:c>
      <x:c r="V7" s="26" t="str"/>
      <x:c r="W7" s="29" t="str"/>
      <x:c r="X7" s="26" t="str"/>
      <x:c r="Y7" s="26" t="str">
        <x:v>Not Required</x:v>
      </x:c>
      <x:c r="Z7" s="26" t="str"/>
      <x:c r="AA7" s="28" t="n">
        <x:f>IF(OR(O7="Passed",O7="Failed",O7="Blocked"),1,0)</x:f>
        <x:v>0</x:v>
      </x:c>
      <x:c r="AB7" s="28" t="n">
        <x:f>IF(O7="Passed",1,0)</x:f>
        <x:v>0</x:v>
      </x:c>
      <x:c r="AC7" s="28" t="n">
        <x:f>IF(AND(OR(R7="Critical",R7="High"),OR(O7="Failed",O7="Blocked"),S7&lt;&gt;"Closed",S7&lt;&gt;"Rejected"),1,0)</x:f>
        <x:v>0</x:v>
      </x:c>
      <x:c r="AD7" s="28" t="n">
        <x:f>IF(X7&lt;&gt;"",1,0)</x:f>
        <x:v>0</x:v>
      </x:c>
      <x:c r="AE7" s="28" t="n">
        <x:f>IF(J7&lt;&gt;"",1,0)</x:f>
        <x:v>0</x:v>
      </x:c>
    </x:row>
    <x:row r="8">
      <x:c r="A8" s="23" t="str">
        <x:v>L1-003</x:v>
      </x:c>
      <x:c r="B8" s="23" t="str">
        <x:v>Level 1</x:v>
      </x:c>
      <x:c r="C8" s="23" t="str">
        <x:v>Test Master</x:v>
      </x:c>
      <x:c r="D8" s="23" t="str"/>
      <x:c r="E8" s="23" t="str">
        <x:v>Create test masters</x:v>
      </x:c>
      <x:c r="F8" s="23" t="str">
        <x:v>Smoke</x:v>
      </x:c>
      <x:c r="G8" s="23" t="str">
        <x:v>Admin</x:v>
      </x:c>
      <x:c r="H8" s="23" t="str">
        <x:v>High</x:v>
      </x:c>
      <x:c r="I8" s="23" t="str">
        <x:v>Yes</x:v>
      </x:c>
      <x:c r="J8" s="23" t="str"/>
      <x:c r="K8" s="23" t="str">
        <x:v>Required master data and user exist.</x:v>
      </x:c>
      <x:c r="L8" s="23" t="str">
        <x:v>Use dedicated non-production test data.</x:v>
      </x:c>
      <x:c r="M8" s="23" t="str">
        <x:v>1. Sign in as Admin. 2. Create a category, test, parameters, reference ranges, sample type, price and package. 3. Save or submit. 4. Refresh or reopen the record. 5. Compare the result with the pass condition.</x:v>
      </x:c>
      <x:c r="N8" s="23" t="str">
        <x:v>The test and package are active and available for billing.</x:v>
      </x:c>
      <x:c r="O8" s="26" t="str">
        <x:v>Not Run</x:v>
      </x:c>
      <x:c r="P8" s="26" t="str"/>
      <x:c r="Q8" s="26" t="str"/>
      <x:c r="R8" s="26" t="str"/>
      <x:c r="S8" s="26" t="str"/>
      <x:c r="T8" s="26" t="str"/>
      <x:c r="U8" s="26" t="str">
        <x:v>QA</x:v>
      </x:c>
      <x:c r="V8" s="26" t="str"/>
      <x:c r="W8" s="29" t="str"/>
      <x:c r="X8" s="26" t="str"/>
      <x:c r="Y8" s="26" t="str">
        <x:v>Not Required</x:v>
      </x:c>
      <x:c r="Z8" s="26" t="str"/>
      <x:c r="AA8" s="28" t="n">
        <x:f>IF(OR(O8="Passed",O8="Failed",O8="Blocked"),1,0)</x:f>
        <x:v>0</x:v>
      </x:c>
      <x:c r="AB8" s="28" t="n">
        <x:f>IF(O8="Passed",1,0)</x:f>
        <x:v>0</x:v>
      </x:c>
      <x:c r="AC8" s="28" t="n">
        <x:f>IF(AND(OR(R8="Critical",R8="High"),OR(O8="Failed",O8="Blocked"),S8&lt;&gt;"Closed",S8&lt;&gt;"Rejected"),1,0)</x:f>
        <x:v>0</x:v>
      </x:c>
      <x:c r="AD8" s="28" t="n">
        <x:f>IF(X8&lt;&gt;"",1,0)</x:f>
        <x:v>0</x:v>
      </x:c>
      <x:c r="AE8" s="28" t="n">
        <x:f>IF(J8&lt;&gt;"",1,0)</x:f>
        <x:v>0</x:v>
      </x:c>
    </x:row>
    <x:row r="9">
      <x:c r="A9" s="23" t="str">
        <x:v>L1-004</x:v>
      </x:c>
      <x:c r="B9" s="23" t="str">
        <x:v>Level 1</x:v>
      </x:c>
      <x:c r="C9" s="23" t="str">
        <x:v>Inventory</x:v>
      </x:c>
      <x:c r="D9" s="23" t="str"/>
      <x:c r="E9" s="23" t="str">
        <x:v>Load opening stock</x:v>
      </x:c>
      <x:c r="F9" s="23" t="str">
        <x:v>Smoke</x:v>
      </x:c>
      <x:c r="G9" s="23" t="str">
        <x:v>Inventory Manager</x:v>
      </x:c>
      <x:c r="H9" s="23" t="str">
        <x:v>High</x:v>
      </x:c>
      <x:c r="I9" s="23" t="str">
        <x:v>Yes</x:v>
      </x:c>
      <x:c r="J9" s="23" t="str">
        <x:v>Included missed flow step</x:v>
      </x:c>
      <x:c r="K9" s="23" t="str">
        <x:v>Required master data and user exist.</x:v>
      </x:c>
      <x:c r="L9" s="23" t="str">
        <x:v>Use dedicated non-production test data.</x:v>
      </x:c>
      <x:c r="M9" s="23" t="str">
        <x:v>1. Sign in as Inventory Manager. 2. Create required inventory masters and load stock with batch and expiry. 3. Save or submit. 4. Refresh or reopen the record. 5. Compare the result with the pass condition.</x:v>
      </x:c>
      <x:c r="N9" s="23" t="str">
        <x:v>On-hand stock, batch, UOM and expiry are correct.</x:v>
      </x:c>
      <x:c r="O9" s="26" t="str">
        <x:v>Not Run</x:v>
      </x:c>
      <x:c r="P9" s="26" t="str"/>
      <x:c r="Q9" s="26" t="str"/>
      <x:c r="R9" s="26" t="str"/>
      <x:c r="S9" s="26" t="str"/>
      <x:c r="T9" s="26" t="str"/>
      <x:c r="U9" s="26" t="str">
        <x:v>QA</x:v>
      </x:c>
      <x:c r="V9" s="26" t="str"/>
      <x:c r="W9" s="29" t="str"/>
      <x:c r="X9" s="26" t="str"/>
      <x:c r="Y9" s="26" t="str">
        <x:v>Not Required</x:v>
      </x:c>
      <x:c r="Z9" s="26" t="str"/>
      <x:c r="AA9" s="28" t="n">
        <x:f>IF(OR(O9="Passed",O9="Failed",O9="Blocked"),1,0)</x:f>
        <x:v>0</x:v>
      </x:c>
      <x:c r="AB9" s="28" t="n">
        <x:f>IF(O9="Passed",1,0)</x:f>
        <x:v>0</x:v>
      </x:c>
      <x:c r="AC9" s="28" t="n">
        <x:f>IF(AND(OR(R9="Critical",R9="High"),OR(O9="Failed",O9="Blocked"),S9&lt;&gt;"Closed",S9&lt;&gt;"Rejected"),1,0)</x:f>
        <x:v>0</x:v>
      </x:c>
      <x:c r="AD9" s="28" t="n">
        <x:f>IF(X9&lt;&gt;"",1,0)</x:f>
        <x:v>0</x:v>
      </x:c>
      <x:c r="AE9" s="28" t="n">
        <x:f>IF(J9&lt;&gt;"",1,0)</x:f>
        <x:v>1</x:v>
      </x:c>
    </x:row>
    <x:row r="10">
      <x:c r="A10" s="23" t="str">
        <x:v>L1-005</x:v>
      </x:c>
      <x:c r="B10" s="23" t="str">
        <x:v>Level 1</x:v>
      </x:c>
      <x:c r="C10" s="23" t="str">
        <x:v>Doctors</x:v>
      </x:c>
      <x:c r="D10" s="23" t="str"/>
      <x:c r="E10" s="23" t="str">
        <x:v>Create and activate a regular doctor</x:v>
      </x:c>
      <x:c r="F10" s="23" t="str">
        <x:v>Smoke</x:v>
      </x:c>
      <x:c r="G10" s="23" t="str">
        <x:v>Admin</x:v>
      </x:c>
      <x:c r="H10" s="23" t="str">
        <x:v>High</x:v>
      </x:c>
      <x:c r="I10" s="23" t="str">
        <x:v>Yes</x:v>
      </x:c>
      <x:c r="J10" s="23" t="str"/>
      <x:c r="K10" s="23" t="str">
        <x:v>Required master data and user exist.</x:v>
      </x:c>
      <x:c r="L10" s="23" t="str">
        <x:v>Use dedicated non-production test data.</x:v>
      </x:c>
      <x:c r="M10" s="23" t="str">
        <x:v>1. Sign in as Admin. 2. Create a doctor and complete invitation activation. 3. Save or submit. 4. Refresh or reopen the record. 5. Compare the result with the pass condition.</x:v>
      </x:c>
      <x:c r="N10" s="23" t="str">
        <x:v>The doctor can sign in to the correct tenant portal.</x:v>
      </x:c>
      <x:c r="O10" s="26" t="str">
        <x:v>Not Run</x:v>
      </x:c>
      <x:c r="P10" s="26" t="str"/>
      <x:c r="Q10" s="26" t="str"/>
      <x:c r="R10" s="26" t="str"/>
      <x:c r="S10" s="26" t="str"/>
      <x:c r="T10" s="26" t="str"/>
      <x:c r="U10" s="26" t="str">
        <x:v>QA</x:v>
      </x:c>
      <x:c r="V10" s="26" t="str"/>
      <x:c r="W10" s="29" t="str"/>
      <x:c r="X10" s="26" t="str"/>
      <x:c r="Y10" s="26" t="str">
        <x:v>Not Required</x:v>
      </x:c>
      <x:c r="Z10" s="26" t="str"/>
      <x:c r="AA10" s="28" t="n">
        <x:f>IF(OR(O10="Passed",O10="Failed",O10="Blocked"),1,0)</x:f>
        <x:v>0</x:v>
      </x:c>
      <x:c r="AB10" s="28" t="n">
        <x:f>IF(O10="Passed",1,0)</x:f>
        <x:v>0</x:v>
      </x:c>
      <x:c r="AC10" s="28" t="n">
        <x:f>IF(AND(OR(R10="Critical",R10="High"),OR(O10="Failed",O10="Blocked"),S10&lt;&gt;"Closed",S10&lt;&gt;"Rejected"),1,0)</x:f>
        <x:v>0</x:v>
      </x:c>
      <x:c r="AD10" s="28" t="n">
        <x:f>IF(X10&lt;&gt;"",1,0)</x:f>
        <x:v>0</x:v>
      </x:c>
      <x:c r="AE10" s="28" t="n">
        <x:f>IF(J10&lt;&gt;"",1,0)</x:f>
        <x:v>0</x:v>
      </x:c>
    </x:row>
    <x:row r="11">
      <x:c r="A11" s="23" t="str">
        <x:v>L1-006</x:v>
      </x:c>
      <x:c r="B11" s="23" t="str">
        <x:v>Level 1</x:v>
      </x:c>
      <x:c r="C11" s="23" t="str">
        <x:v>Patients</x:v>
      </x:c>
      <x:c r="D11" s="23" t="str"/>
      <x:c r="E11" s="23" t="str">
        <x:v>Search before patient registration</x:v>
      </x:c>
      <x:c r="F11" s="23" t="str">
        <x:v>Smoke</x:v>
      </x:c>
      <x:c r="G11" s="23" t="str">
        <x:v>Front Desk Receptionist</x:v>
      </x:c>
      <x:c r="H11" s="23" t="str">
        <x:v>High</x:v>
      </x:c>
      <x:c r="I11" s="23" t="str">
        <x:v>Yes</x:v>
      </x:c>
      <x:c r="J11" s="23" t="str"/>
      <x:c r="K11" s="23" t="str">
        <x:v>Required master data and user exist.</x:v>
      </x:c>
      <x:c r="L11" s="23" t="str">
        <x:v>Use dedicated non-production test data.</x:v>
      </x:c>
      <x:c r="M11" s="23" t="str">
        <x:v>1. Sign in as Front Desk Receptionist. 2. Search by phone and patient ID before creating a patient. 3. Save or submit. 4. Refresh or reopen the record. 5. Compare the result with the pass condition.</x:v>
      </x:c>
      <x:c r="N11" s="23" t="str">
        <x:v>The system shows existing matches and supports safe new registration.</x:v>
      </x:c>
      <x:c r="O11" s="26" t="str">
        <x:v>Not Run</x:v>
      </x:c>
      <x:c r="P11" s="26" t="str"/>
      <x:c r="Q11" s="26" t="str"/>
      <x:c r="R11" s="26" t="str"/>
      <x:c r="S11" s="26" t="str"/>
      <x:c r="T11" s="26" t="str"/>
      <x:c r="U11" s="26" t="str">
        <x:v>QA</x:v>
      </x:c>
      <x:c r="V11" s="26" t="str"/>
      <x:c r="W11" s="29" t="str"/>
      <x:c r="X11" s="26" t="str"/>
      <x:c r="Y11" s="26" t="str">
        <x:v>Not Required</x:v>
      </x:c>
      <x:c r="Z11" s="26" t="str"/>
      <x:c r="AA11" s="28" t="n">
        <x:f>IF(OR(O11="Passed",O11="Failed",O11="Blocked"),1,0)</x:f>
        <x:v>0</x:v>
      </x:c>
      <x:c r="AB11" s="28" t="n">
        <x:f>IF(O11="Passed",1,0)</x:f>
        <x:v>0</x:v>
      </x:c>
      <x:c r="AC11" s="28" t="n">
        <x:f>IF(AND(OR(R11="Critical",R11="High"),OR(O11="Failed",O11="Blocked"),S11&lt;&gt;"Closed",S11&lt;&gt;"Rejected"),1,0)</x:f>
        <x:v>0</x:v>
      </x:c>
      <x:c r="AD11" s="28" t="n">
        <x:f>IF(X11&lt;&gt;"",1,0)</x:f>
        <x:v>0</x:v>
      </x:c>
      <x:c r="AE11" s="28" t="n">
        <x:f>IF(J11&lt;&gt;"",1,0)</x:f>
        <x:v>0</x:v>
      </x:c>
    </x:row>
    <x:row r="12">
      <x:c r="A12" s="23" t="str">
        <x:v>L1-007</x:v>
      </x:c>
      <x:c r="B12" s="23" t="str">
        <x:v>Level 1</x:v>
      </x:c>
      <x:c r="C12" s="23" t="str">
        <x:v>Patients</x:v>
      </x:c>
      <x:c r="D12" s="23" t="str"/>
      <x:c r="E12" s="23" t="str">
        <x:v>Register a new patient</x:v>
      </x:c>
      <x:c r="F12" s="23" t="str">
        <x:v>Smoke</x:v>
      </x:c>
      <x:c r="G12" s="23" t="str">
        <x:v>Front Desk Receptionist</x:v>
      </x:c>
      <x:c r="H12" s="23" t="str">
        <x:v>High</x:v>
      </x:c>
      <x:c r="I12" s="23" t="str">
        <x:v>Yes</x:v>
      </x:c>
      <x:c r="J12" s="23" t="str"/>
      <x:c r="K12" s="23" t="str">
        <x:v>Required master data and user exist.</x:v>
      </x:c>
      <x:c r="L12" s="23" t="str">
        <x:v>Use dedicated non-production test data.</x:v>
      </x:c>
      <x:c r="M12" s="23" t="str">
        <x:v>1. Sign in as Front Desk Receptionist. 2. Enter valid demographics and save the patient. 3. Save or submit. 4. Refresh or reopen the record. 5. Compare the result with the pass condition.</x:v>
      </x:c>
      <x:c r="N12" s="23" t="str">
        <x:v>A unique patient ID and portal account are created.</x:v>
      </x:c>
      <x:c r="O12" s="26" t="str">
        <x:v>Not Run</x:v>
      </x:c>
      <x:c r="P12" s="26" t="str"/>
      <x:c r="Q12" s="26" t="str"/>
      <x:c r="R12" s="26" t="str"/>
      <x:c r="S12" s="26" t="str"/>
      <x:c r="T12" s="26" t="str"/>
      <x:c r="U12" s="26" t="str">
        <x:v>QA</x:v>
      </x:c>
      <x:c r="V12" s="26" t="str"/>
      <x:c r="W12" s="29" t="str"/>
      <x:c r="X12" s="26" t="str"/>
      <x:c r="Y12" s="26" t="str">
        <x:v>Not Required</x:v>
      </x:c>
      <x:c r="Z12" s="26" t="str"/>
      <x:c r="AA12" s="28" t="n">
        <x:f>IF(OR(O12="Passed",O12="Failed",O12="Blocked"),1,0)</x:f>
        <x:v>0</x:v>
      </x:c>
      <x:c r="AB12" s="28" t="n">
        <x:f>IF(O12="Passed",1,0)</x:f>
        <x:v>0</x:v>
      </x:c>
      <x:c r="AC12" s="28" t="n">
        <x:f>IF(AND(OR(R12="Critical",R12="High"),OR(O12="Failed",O12="Blocked"),S12&lt;&gt;"Closed",S12&lt;&gt;"Rejected"),1,0)</x:f>
        <x:v>0</x:v>
      </x:c>
      <x:c r="AD12" s="28" t="n">
        <x:f>IF(X12&lt;&gt;"",1,0)</x:f>
        <x:v>0</x:v>
      </x:c>
      <x:c r="AE12" s="28" t="n">
        <x:f>IF(J12&lt;&gt;"",1,0)</x:f>
        <x:v>0</x:v>
      </x:c>
    </x:row>
    <x:row r="13">
      <x:c r="A13" s="23" t="str">
        <x:v>L1-008</x:v>
      </x:c>
      <x:c r="B13" s="23" t="str">
        <x:v>Level 1</x:v>
      </x:c>
      <x:c r="C13" s="23" t="str">
        <x:v>Billing</x:v>
      </x:c>
      <x:c r="D13" s="23" t="str"/>
      <x:c r="E13" s="23" t="str">
        <x:v>Create a test order and bill</x:v>
      </x:c>
      <x:c r="F13" s="23" t="str">
        <x:v>Smoke</x:v>
      </x:c>
      <x:c r="G13" s="23" t="str">
        <x:v>Front Desk Receptionist</x:v>
      </x:c>
      <x:c r="H13" s="23" t="str">
        <x:v>Critical</x:v>
      </x:c>
      <x:c r="I13" s="23" t="str">
        <x:v>Yes</x:v>
      </x:c>
      <x:c r="J13" s="23" t="str"/>
      <x:c r="K13" s="23" t="str">
        <x:v>Required master data and user exist.</x:v>
      </x:c>
      <x:c r="L13" s="23" t="str">
        <x:v>Use dedicated non-production test data.</x:v>
      </x:c>
      <x:c r="M13" s="23" t="str">
        <x:v>1. Sign in as Front Desk Receptionist. 2. Select patient, doctor, individual test, package and priority; create the bill. 3. Save or submit. 4. Refresh or reopen the record. 5. Compare the result with the pass condition.</x:v>
      </x:c>
      <x:c r="N13" s="23" t="str">
        <x:v>The bill total is correct and linked sample records are created.</x:v>
      </x:c>
      <x:c r="O13" s="26" t="str">
        <x:v>Not Run</x:v>
      </x:c>
      <x:c r="P13" s="26" t="str"/>
      <x:c r="Q13" s="26" t="str"/>
      <x:c r="R13" s="26" t="str"/>
      <x:c r="S13" s="26" t="str"/>
      <x:c r="T13" s="26" t="str"/>
      <x:c r="U13" s="26" t="str">
        <x:v>QA</x:v>
      </x:c>
      <x:c r="V13" s="26" t="str"/>
      <x:c r="W13" s="29" t="str"/>
      <x:c r="X13" s="26" t="str"/>
      <x:c r="Y13" s="26" t="str">
        <x:v>Not Required</x:v>
      </x:c>
      <x:c r="Z13" s="26" t="str"/>
      <x:c r="AA13" s="28" t="n">
        <x:f>IF(OR(O13="Passed",O13="Failed",O13="Blocked"),1,0)</x:f>
        <x:v>0</x:v>
      </x:c>
      <x:c r="AB13" s="28" t="n">
        <x:f>IF(O13="Passed",1,0)</x:f>
        <x:v>0</x:v>
      </x:c>
      <x:c r="AC13" s="28" t="n">
        <x:f>IF(AND(OR(R13="Critical",R13="High"),OR(O13="Failed",O13="Blocked"),S13&lt;&gt;"Closed",S13&lt;&gt;"Rejected"),1,0)</x:f>
        <x:v>0</x:v>
      </x:c>
      <x:c r="AD13" s="28" t="n">
        <x:f>IF(X13&lt;&gt;"",1,0)</x:f>
        <x:v>0</x:v>
      </x:c>
      <x:c r="AE13" s="28" t="n">
        <x:f>IF(J13&lt;&gt;"",1,0)</x:f>
        <x:v>0</x:v>
      </x:c>
    </x:row>
    <x:row r="14">
      <x:c r="A14" s="23" t="str">
        <x:v>L1-009</x:v>
      </x:c>
      <x:c r="B14" s="23" t="str">
        <x:v>Level 1</x:v>
      </x:c>
      <x:c r="C14" s="23" t="str">
        <x:v>Billing</x:v>
      </x:c>
      <x:c r="D14" s="23" t="str"/>
      <x:c r="E14" s="23" t="str">
        <x:v>Record a partial payment</x:v>
      </x:c>
      <x:c r="F14" s="23" t="str">
        <x:v>Smoke</x:v>
      </x:c>
      <x:c r="G14" s="23" t="str">
        <x:v>Billing Cashier</x:v>
      </x:c>
      <x:c r="H14" s="23" t="str">
        <x:v>Critical</x:v>
      </x:c>
      <x:c r="I14" s="23" t="str">
        <x:v>Yes</x:v>
      </x:c>
      <x:c r="J14" s="23" t="str"/>
      <x:c r="K14" s="23" t="str">
        <x:v>Required master data and user exist.</x:v>
      </x:c>
      <x:c r="L14" s="23" t="str">
        <x:v>Use dedicated non-production test data.</x:v>
      </x:c>
      <x:c r="M14" s="23" t="str">
        <x:v>1. Sign in as Billing Cashier. 2. Pay less than the bill balance and issue a receipt. 3. Save or submit. 4. Refresh or reopen the record. 5. Compare the result with the pass condition.</x:v>
      </x:c>
      <x:c r="N14" s="23" t="str">
        <x:v>Status becomes Partial and the remaining balance is correct.</x:v>
      </x:c>
      <x:c r="O14" s="26" t="str">
        <x:v>Not Run</x:v>
      </x:c>
      <x:c r="P14" s="26" t="str"/>
      <x:c r="Q14" s="26" t="str"/>
      <x:c r="R14" s="26" t="str"/>
      <x:c r="S14" s="26" t="str"/>
      <x:c r="T14" s="26" t="str"/>
      <x:c r="U14" s="26" t="str">
        <x:v>QA</x:v>
      </x:c>
      <x:c r="V14" s="26" t="str"/>
      <x:c r="W14" s="29" t="str"/>
      <x:c r="X14" s="26" t="str"/>
      <x:c r="Y14" s="26" t="str">
        <x:v>Not Required</x:v>
      </x:c>
      <x:c r="Z14" s="26" t="str"/>
      <x:c r="AA14" s="28" t="n">
        <x:f>IF(OR(O14="Passed",O14="Failed",O14="Blocked"),1,0)</x:f>
        <x:v>0</x:v>
      </x:c>
      <x:c r="AB14" s="28" t="n">
        <x:f>IF(O14="Passed",1,0)</x:f>
        <x:v>0</x:v>
      </x:c>
      <x:c r="AC14" s="28" t="n">
        <x:f>IF(AND(OR(R14="Critical",R14="High"),OR(O14="Failed",O14="Blocked"),S14&lt;&gt;"Closed",S14&lt;&gt;"Rejected"),1,0)</x:f>
        <x:v>0</x:v>
      </x:c>
      <x:c r="AD14" s="28" t="n">
        <x:f>IF(X14&lt;&gt;"",1,0)</x:f>
        <x:v>0</x:v>
      </x:c>
      <x:c r="AE14" s="28" t="n">
        <x:f>IF(J14&lt;&gt;"",1,0)</x:f>
        <x:v>0</x:v>
      </x:c>
    </x:row>
    <x:row r="15">
      <x:c r="A15" s="23" t="str">
        <x:v>L1-010</x:v>
      </x:c>
      <x:c r="B15" s="23" t="str">
        <x:v>Level 1</x:v>
      </x:c>
      <x:c r="C15" s="23" t="str">
        <x:v>Samples</x:v>
      </x:c>
      <x:c r="D15" s="23" t="str"/>
      <x:c r="E15" s="23" t="str">
        <x:v>Print or open sample barcode</x:v>
      </x:c>
      <x:c r="F15" s="23" t="str">
        <x:v>Smoke</x:v>
      </x:c>
      <x:c r="G15" s="23" t="str">
        <x:v>Phlebotomist</x:v>
      </x:c>
      <x:c r="H15" s="23" t="str">
        <x:v>High</x:v>
      </x:c>
      <x:c r="I15" s="23" t="str">
        <x:v>Yes</x:v>
      </x:c>
      <x:c r="J15" s="23" t="str"/>
      <x:c r="K15" s="23" t="str">
        <x:v>Required master data and user exist.</x:v>
      </x:c>
      <x:c r="L15" s="23" t="str">
        <x:v>Use dedicated non-production test data.</x:v>
      </x:c>
      <x:c r="M15" s="23" t="str">
        <x:v>1. Sign in as Phlebotomist. 2. Open the generated sample and barcode. 3. Save or submit. 4. Refresh or reopen the record. 5. Compare the result with the pass condition.</x:v>
      </x:c>
      <x:c r="N15" s="23" t="str">
        <x:v>Sample ID, barcode, patient, bill and required sample type match.</x:v>
      </x:c>
      <x:c r="O15" s="26" t="str">
        <x:v>Not Run</x:v>
      </x:c>
      <x:c r="P15" s="26" t="str"/>
      <x:c r="Q15" s="26" t="str"/>
      <x:c r="R15" s="26" t="str"/>
      <x:c r="S15" s="26" t="str"/>
      <x:c r="T15" s="26" t="str"/>
      <x:c r="U15" s="26" t="str">
        <x:v>QA</x:v>
      </x:c>
      <x:c r="V15" s="26" t="str"/>
      <x:c r="W15" s="29" t="str"/>
      <x:c r="X15" s="26" t="str"/>
      <x:c r="Y15" s="26" t="str">
        <x:v>Not Required</x:v>
      </x:c>
      <x:c r="Z15" s="26" t="str"/>
      <x:c r="AA15" s="28" t="n">
        <x:f>IF(OR(O15="Passed",O15="Failed",O15="Blocked"),1,0)</x:f>
        <x:v>0</x:v>
      </x:c>
      <x:c r="AB15" s="28" t="n">
        <x:f>IF(O15="Passed",1,0)</x:f>
        <x:v>0</x:v>
      </x:c>
      <x:c r="AC15" s="28" t="n">
        <x:f>IF(AND(OR(R15="Critical",R15="High"),OR(O15="Failed",O15="Blocked"),S15&lt;&gt;"Closed",S15&lt;&gt;"Rejected"),1,0)</x:f>
        <x:v>0</x:v>
      </x:c>
      <x:c r="AD15" s="28" t="n">
        <x:f>IF(X15&lt;&gt;"",1,0)</x:f>
        <x:v>0</x:v>
      </x:c>
      <x:c r="AE15" s="28" t="n">
        <x:f>IF(J15&lt;&gt;"",1,0)</x:f>
        <x:v>0</x:v>
      </x:c>
    </x:row>
    <x:row r="16">
      <x:c r="A16" s="23" t="str">
        <x:v>L1-011</x:v>
      </x:c>
      <x:c r="B16" s="23" t="str">
        <x:v>Level 1</x:v>
      </x:c>
      <x:c r="C16" s="23" t="str">
        <x:v>Samples</x:v>
      </x:c>
      <x:c r="D16" s="23" t="str"/>
      <x:c r="E16" s="23" t="str">
        <x:v>Collect the sample</x:v>
      </x:c>
      <x:c r="F16" s="23" t="str">
        <x:v>Smoke</x:v>
      </x:c>
      <x:c r="G16" s="23" t="str">
        <x:v>Phlebotomist</x:v>
      </x:c>
      <x:c r="H16" s="23" t="str">
        <x:v>High</x:v>
      </x:c>
      <x:c r="I16" s="23" t="str">
        <x:v>Yes</x:v>
      </x:c>
      <x:c r="J16" s="23" t="str"/>
      <x:c r="K16" s="23" t="str">
        <x:v>Required master data and user exist.</x:v>
      </x:c>
      <x:c r="L16" s="23" t="str">
        <x:v>Use dedicated non-production test data.</x:v>
      </x:c>
      <x:c r="M16" s="23" t="str">
        <x:v>1. Sign in as Phlebotomist. 2. Verify two patient identifiers, record collection/received details and mark Collected. 3. Save or submit. 4. Refresh or reopen the record. 5. Compare the result with the pass condition.</x:v>
      </x:c>
      <x:c r="N16" s="23" t="str">
        <x:v>Collection time, collector and custody event are saved.</x:v>
      </x:c>
      <x:c r="O16" s="26" t="str">
        <x:v>Not Run</x:v>
      </x:c>
      <x:c r="P16" s="26" t="str"/>
      <x:c r="Q16" s="26" t="str"/>
      <x:c r="R16" s="26" t="str"/>
      <x:c r="S16" s="26" t="str"/>
      <x:c r="T16" s="26" t="str"/>
      <x:c r="U16" s="26" t="str">
        <x:v>QA</x:v>
      </x:c>
      <x:c r="V16" s="26" t="str"/>
      <x:c r="W16" s="29" t="str"/>
      <x:c r="X16" s="26" t="str"/>
      <x:c r="Y16" s="26" t="str">
        <x:v>Not Required</x:v>
      </x:c>
      <x:c r="Z16" s="26" t="str"/>
      <x:c r="AA16" s="28" t="n">
        <x:f>IF(OR(O16="Passed",O16="Failed",O16="Blocked"),1,0)</x:f>
        <x:v>0</x:v>
      </x:c>
      <x:c r="AB16" s="28" t="n">
        <x:f>IF(O16="Passed",1,0)</x:f>
        <x:v>0</x:v>
      </x:c>
      <x:c r="AC16" s="28" t="n">
        <x:f>IF(AND(OR(R16="Critical",R16="High"),OR(O16="Failed",O16="Blocked"),S16&lt;&gt;"Closed",S16&lt;&gt;"Rejected"),1,0)</x:f>
        <x:v>0</x:v>
      </x:c>
      <x:c r="AD16" s="28" t="n">
        <x:f>IF(X16&lt;&gt;"",1,0)</x:f>
        <x:v>0</x:v>
      </x:c>
      <x:c r="AE16" s="28" t="n">
        <x:f>IF(J16&lt;&gt;"",1,0)</x:f>
        <x:v>0</x:v>
      </x:c>
    </x:row>
    <x:row r="17">
      <x:c r="A17" s="23" t="str">
        <x:v>L1-012</x:v>
      </x:c>
      <x:c r="B17" s="23" t="str">
        <x:v>Level 1</x:v>
      </x:c>
      <x:c r="C17" s="23" t="str">
        <x:v>Samples</x:v>
      </x:c>
      <x:c r="D17" s="23" t="str"/>
      <x:c r="E17" s="23" t="str">
        <x:v>Move sample to processing</x:v>
      </x:c>
      <x:c r="F17" s="23" t="str">
        <x:v>Smoke</x:v>
      </x:c>
      <x:c r="G17" s="23" t="str">
        <x:v>Lab Technician</x:v>
      </x:c>
      <x:c r="H17" s="23" t="str">
        <x:v>High</x:v>
      </x:c>
      <x:c r="I17" s="23" t="str">
        <x:v>Yes</x:v>
      </x:c>
      <x:c r="J17" s="23" t="str"/>
      <x:c r="K17" s="23" t="str">
        <x:v>Required master data and user exist.</x:v>
      </x:c>
      <x:c r="L17" s="23" t="str">
        <x:v>Use dedicated non-production test data.</x:v>
      </x:c>
      <x:c r="M17" s="23" t="str">
        <x:v>1. Sign in as Lab Technician. 2. Open the collected sample and start processing. 3. Save or submit. 4. Refresh or reopen the record. 5. Compare the result with the pass condition.</x:v>
      </x:c>
      <x:c r="N17" s="23" t="str">
        <x:v>Sample and bill-item statuses move forward in the correct order.</x:v>
      </x:c>
      <x:c r="O17" s="26" t="str">
        <x:v>Not Run</x:v>
      </x:c>
      <x:c r="P17" s="26" t="str"/>
      <x:c r="Q17" s="26" t="str"/>
      <x:c r="R17" s="26" t="str"/>
      <x:c r="S17" s="26" t="str"/>
      <x:c r="T17" s="26" t="str"/>
      <x:c r="U17" s="26" t="str">
        <x:v>QA</x:v>
      </x:c>
      <x:c r="V17" s="26" t="str"/>
      <x:c r="W17" s="29" t="str"/>
      <x:c r="X17" s="26" t="str"/>
      <x:c r="Y17" s="26" t="str">
        <x:v>Not Required</x:v>
      </x:c>
      <x:c r="Z17" s="26" t="str"/>
      <x:c r="AA17" s="28" t="n">
        <x:f>IF(OR(O17="Passed",O17="Failed",O17="Blocked"),1,0)</x:f>
        <x:v>0</x:v>
      </x:c>
      <x:c r="AB17" s="28" t="n">
        <x:f>IF(O17="Passed",1,0)</x:f>
        <x:v>0</x:v>
      </x:c>
      <x:c r="AC17" s="28" t="n">
        <x:f>IF(AND(OR(R17="Critical",R17="High"),OR(O17="Failed",O17="Blocked"),S17&lt;&gt;"Closed",S17&lt;&gt;"Rejected"),1,0)</x:f>
        <x:v>0</x:v>
      </x:c>
      <x:c r="AD17" s="28" t="n">
        <x:f>IF(X17&lt;&gt;"",1,0)</x:f>
        <x:v>0</x:v>
      </x:c>
      <x:c r="AE17" s="28" t="n">
        <x:f>IF(J17&lt;&gt;"",1,0)</x:f>
        <x:v>0</x:v>
      </x:c>
    </x:row>
    <x:row r="18">
      <x:c r="A18" s="23" t="str">
        <x:v>L1-013</x:v>
      </x:c>
      <x:c r="B18" s="23" t="str">
        <x:v>Level 1</x:v>
      </x:c>
      <x:c r="C18" s="23" t="str">
        <x:v>Inventory</x:v>
      </x:c>
      <x:c r="D18" s="23" t="str"/>
      <x:c r="E18" s="23" t="str">
        <x:v>Reserve or monitor test inventory</x:v>
      </x:c>
      <x:c r="F18" s="23" t="str">
        <x:v>Smoke</x:v>
      </x:c>
      <x:c r="G18" s="23" t="str">
        <x:v>Lab Technician</x:v>
      </x:c>
      <x:c r="H18" s="23" t="str">
        <x:v>High</x:v>
      </x:c>
      <x:c r="I18" s="23" t="str">
        <x:v>Yes</x:v>
      </x:c>
      <x:c r="J18" s="23" t="str">
        <x:v>Included missed flow step</x:v>
      </x:c>
      <x:c r="K18" s="23" t="str">
        <x:v>Required master data and user exist.</x:v>
      </x:c>
      <x:c r="L18" s="23" t="str">
        <x:v>Use dedicated non-production test data.</x:v>
      </x:c>
      <x:c r="M18" s="23" t="str">
        <x:v>1. Sign in as Lab Technician. 2. Check required item availability during sample processing. 3. Save or submit. 4. Refresh or reopen the record. 5. Compare the result with the pass condition.</x:v>
      </x:c>
      <x:c r="N18" s="23" t="str">
        <x:v>Reserved/on-hand stock and warnings follow the implemented rule.</x:v>
      </x:c>
      <x:c r="O18" s="26" t="str">
        <x:v>Not Run</x:v>
      </x:c>
      <x:c r="P18" s="26" t="str"/>
      <x:c r="Q18" s="26" t="str"/>
      <x:c r="R18" s="26" t="str"/>
      <x:c r="S18" s="26" t="str"/>
      <x:c r="T18" s="26" t="str"/>
      <x:c r="U18" s="26" t="str">
        <x:v>QA</x:v>
      </x:c>
      <x:c r="V18" s="26" t="str"/>
      <x:c r="W18" s="29" t="str"/>
      <x:c r="X18" s="26" t="str"/>
      <x:c r="Y18" s="26" t="str">
        <x:v>Not Required</x:v>
      </x:c>
      <x:c r="Z18" s="26" t="str"/>
      <x:c r="AA18" s="28" t="n">
        <x:f>IF(OR(O18="Passed",O18="Failed",O18="Blocked"),1,0)</x:f>
        <x:v>0</x:v>
      </x:c>
      <x:c r="AB18" s="28" t="n">
        <x:f>IF(O18="Passed",1,0)</x:f>
        <x:v>0</x:v>
      </x:c>
      <x:c r="AC18" s="28" t="n">
        <x:f>IF(AND(OR(R18="Critical",R18="High"),OR(O18="Failed",O18="Blocked"),S18&lt;&gt;"Closed",S18&lt;&gt;"Rejected"),1,0)</x:f>
        <x:v>0</x:v>
      </x:c>
      <x:c r="AD18" s="28" t="n">
        <x:f>IF(X18&lt;&gt;"",1,0)</x:f>
        <x:v>0</x:v>
      </x:c>
      <x:c r="AE18" s="28" t="n">
        <x:f>IF(J18&lt;&gt;"",1,0)</x:f>
        <x:v>1</x:v>
      </x:c>
    </x:row>
    <x:row r="19">
      <x:c r="A19" s="23" t="str">
        <x:v>L1-014</x:v>
      </x:c>
      <x:c r="B19" s="23" t="str">
        <x:v>Level 1</x:v>
      </x:c>
      <x:c r="C19" s="23" t="str">
        <x:v>Reports</x:v>
      </x:c>
      <x:c r="D19" s="23" t="str"/>
      <x:c r="E19" s="23" t="str">
        <x:v>Enter valid results</x:v>
      </x:c>
      <x:c r="F19" s="23" t="str">
        <x:v>Smoke</x:v>
      </x:c>
      <x:c r="G19" s="23" t="str">
        <x:v>Lab Technician</x:v>
      </x:c>
      <x:c r="H19" s="23" t="str">
        <x:v>Critical</x:v>
      </x:c>
      <x:c r="I19" s="23" t="str">
        <x:v>Yes</x:v>
      </x:c>
      <x:c r="J19" s="23" t="str"/>
      <x:c r="K19" s="23" t="str">
        <x:v>Required master data and user exist.</x:v>
      </x:c>
      <x:c r="L19" s="23" t="str">
        <x:v>Use dedicated non-production test data.</x:v>
      </x:c>
      <x:c r="M19" s="23" t="str">
        <x:v>1. Sign in as Lab Technician. 2. Enter all required numeric and text results and complete the sample. 3. Save or submit. 4. Refresh or reopen the record. 5. Compare the result with the pass condition.</x:v>
      </x:c>
      <x:c r="N19" s="23" t="str">
        <x:v>Values, units and flags are correct; a Draft report exists.</x:v>
      </x:c>
      <x:c r="O19" s="26" t="str">
        <x:v>Not Run</x:v>
      </x:c>
      <x:c r="P19" s="26" t="str"/>
      <x:c r="Q19" s="26" t="str"/>
      <x:c r="R19" s="26" t="str"/>
      <x:c r="S19" s="26" t="str"/>
      <x:c r="T19" s="26" t="str"/>
      <x:c r="U19" s="26" t="str">
        <x:v>QA</x:v>
      </x:c>
      <x:c r="V19" s="26" t="str"/>
      <x:c r="W19" s="29" t="str"/>
      <x:c r="X19" s="26" t="str"/>
      <x:c r="Y19" s="26" t="str">
        <x:v>Not Required</x:v>
      </x:c>
      <x:c r="Z19" s="26" t="str"/>
      <x:c r="AA19" s="28" t="n">
        <x:f>IF(OR(O19="Passed",O19="Failed",O19="Blocked"),1,0)</x:f>
        <x:v>0</x:v>
      </x:c>
      <x:c r="AB19" s="28" t="n">
        <x:f>IF(O19="Passed",1,0)</x:f>
        <x:v>0</x:v>
      </x:c>
      <x:c r="AC19" s="28" t="n">
        <x:f>IF(AND(OR(R19="Critical",R19="High"),OR(O19="Failed",O19="Blocked"),S19&lt;&gt;"Closed",S19&lt;&gt;"Rejected"),1,0)</x:f>
        <x:v>0</x:v>
      </x:c>
      <x:c r="AD19" s="28" t="n">
        <x:f>IF(X19&lt;&gt;"",1,0)</x:f>
        <x:v>0</x:v>
      </x:c>
      <x:c r="AE19" s="28" t="n">
        <x:f>IF(J19&lt;&gt;"",1,0)</x:f>
        <x:v>0</x:v>
      </x:c>
    </x:row>
    <x:row r="20">
      <x:c r="A20" s="23" t="str">
        <x:v>L1-015</x:v>
      </x:c>
      <x:c r="B20" s="23" t="str">
        <x:v>Level 1</x:v>
      </x:c>
      <x:c r="C20" s="23" t="str">
        <x:v>Reports</x:v>
      </x:c>
      <x:c r="D20" s="23" t="str"/>
      <x:c r="E20" s="23" t="str">
        <x:v>Review the report</x:v>
      </x:c>
      <x:c r="F20" s="23" t="str">
        <x:v>Smoke</x:v>
      </x:c>
      <x:c r="G20" s="23" t="str">
        <x:v>Pathologist</x:v>
      </x:c>
      <x:c r="H20" s="23" t="str">
        <x:v>Critical</x:v>
      </x:c>
      <x:c r="I20" s="23" t="str">
        <x:v>Yes</x:v>
      </x:c>
      <x:c r="J20" s="23" t="str"/>
      <x:c r="K20" s="23" t="str">
        <x:v>Required master data and user exist.</x:v>
      </x:c>
      <x:c r="L20" s="23" t="str">
        <x:v>Use dedicated non-production test data.</x:v>
      </x:c>
      <x:c r="M20" s="23" t="str">
        <x:v>1. Sign in as Pathologist. 2. Check patient, sample, tests, results, ranges and remarks; mark Reviewed. 3. Save or submit. 4. Refresh or reopen the record. 5. Compare the result with the pass condition.</x:v>
      </x:c>
      <x:c r="N20" s="23" t="str">
        <x:v>The report becomes Reviewed and records the reviewer and time.</x:v>
      </x:c>
      <x:c r="O20" s="26" t="str">
        <x:v>Not Run</x:v>
      </x:c>
      <x:c r="P20" s="26" t="str"/>
      <x:c r="Q20" s="26" t="str"/>
      <x:c r="R20" s="26" t="str"/>
      <x:c r="S20" s="26" t="str"/>
      <x:c r="T20" s="26" t="str"/>
      <x:c r="U20" s="26" t="str">
        <x:v>QA</x:v>
      </x:c>
      <x:c r="V20" s="26" t="str"/>
      <x:c r="W20" s="29" t="str"/>
      <x:c r="X20" s="26" t="str"/>
      <x:c r="Y20" s="26" t="str">
        <x:v>Not Required</x:v>
      </x:c>
      <x:c r="Z20" s="26" t="str"/>
      <x:c r="AA20" s="28" t="n">
        <x:f>IF(OR(O20="Passed",O20="Failed",O20="Blocked"),1,0)</x:f>
        <x:v>0</x:v>
      </x:c>
      <x:c r="AB20" s="28" t="n">
        <x:f>IF(O20="Passed",1,0)</x:f>
        <x:v>0</x:v>
      </x:c>
      <x:c r="AC20" s="28" t="n">
        <x:f>IF(AND(OR(R20="Critical",R20="High"),OR(O20="Failed",O20="Blocked"),S20&lt;&gt;"Closed",S20&lt;&gt;"Rejected"),1,0)</x:f>
        <x:v>0</x:v>
      </x:c>
      <x:c r="AD20" s="28" t="n">
        <x:f>IF(X20&lt;&gt;"",1,0)</x:f>
        <x:v>0</x:v>
      </x:c>
      <x:c r="AE20" s="28" t="n">
        <x:f>IF(J20&lt;&gt;"",1,0)</x:f>
        <x:v>0</x:v>
      </x:c>
    </x:row>
    <x:row r="21">
      <x:c r="A21" s="23" t="str">
        <x:v>L1-016</x:v>
      </x:c>
      <x:c r="B21" s="23" t="str">
        <x:v>Level 1</x:v>
      </x:c>
      <x:c r="C21" s="23" t="str">
        <x:v>Reports</x:v>
      </x:c>
      <x:c r="D21" s="23" t="str"/>
      <x:c r="E21" s="23" t="str">
        <x:v>Approve the report</x:v>
      </x:c>
      <x:c r="F21" s="23" t="str">
        <x:v>Smoke</x:v>
      </x:c>
      <x:c r="G21" s="23" t="str">
        <x:v>Pathologist</x:v>
      </x:c>
      <x:c r="H21" s="23" t="str">
        <x:v>Critical</x:v>
      </x:c>
      <x:c r="I21" s="23" t="str">
        <x:v>Yes</x:v>
      </x:c>
      <x:c r="J21" s="23" t="str"/>
      <x:c r="K21" s="23" t="str">
        <x:v>Required master data and user exist.</x:v>
      </x:c>
      <x:c r="L21" s="23" t="str">
        <x:v>Use dedicated non-production test data.</x:v>
      </x:c>
      <x:c r="M21" s="23" t="str">
        <x:v>1. Sign in as Pathologist. 2. Approve the Reviewed report. 3. Save or submit. 4. Refresh or reopen the record. 5. Compare the result with the pass condition.</x:v>
      </x:c>
      <x:c r="N21" s="23" t="str">
        <x:v>The report becomes Approved and records the approver and time.</x:v>
      </x:c>
      <x:c r="O21" s="26" t="str">
        <x:v>Not Run</x:v>
      </x:c>
      <x:c r="P21" s="26" t="str"/>
      <x:c r="Q21" s="26" t="str"/>
      <x:c r="R21" s="26" t="str"/>
      <x:c r="S21" s="26" t="str"/>
      <x:c r="T21" s="26" t="str"/>
      <x:c r="U21" s="26" t="str">
        <x:v>QA</x:v>
      </x:c>
      <x:c r="V21" s="26" t="str"/>
      <x:c r="W21" s="29" t="str"/>
      <x:c r="X21" s="26" t="str"/>
      <x:c r="Y21" s="26" t="str">
        <x:v>Not Required</x:v>
      </x:c>
      <x:c r="Z21" s="26" t="str"/>
      <x:c r="AA21" s="28" t="n">
        <x:f>IF(OR(O21="Passed",O21="Failed",O21="Blocked"),1,0)</x:f>
        <x:v>0</x:v>
      </x:c>
      <x:c r="AB21" s="28" t="n">
        <x:f>IF(O21="Passed",1,0)</x:f>
        <x:v>0</x:v>
      </x:c>
      <x:c r="AC21" s="28" t="n">
        <x:f>IF(AND(OR(R21="Critical",R21="High"),OR(O21="Failed",O21="Blocked"),S21&lt;&gt;"Closed",S21&lt;&gt;"Rejected"),1,0)</x:f>
        <x:v>0</x:v>
      </x:c>
      <x:c r="AD21" s="28" t="n">
        <x:f>IF(X21&lt;&gt;"",1,0)</x:f>
        <x:v>0</x:v>
      </x:c>
      <x:c r="AE21" s="28" t="n">
        <x:f>IF(J21&lt;&gt;"",1,0)</x:f>
        <x:v>0</x:v>
      </x:c>
    </x:row>
    <x:row r="22">
      <x:c r="A22" s="23" t="str">
        <x:v>L1-017</x:v>
      </x:c>
      <x:c r="B22" s="23" t="str">
        <x:v>Level 1</x:v>
      </x:c>
      <x:c r="C22" s="23" t="str">
        <x:v>Reports</x:v>
      </x:c>
      <x:c r="D22" s="23" t="str"/>
      <x:c r="E22" s="23" t="str">
        <x:v>Release the report</x:v>
      </x:c>
      <x:c r="F22" s="23" t="str">
        <x:v>Smoke</x:v>
      </x:c>
      <x:c r="G22" s="23" t="str">
        <x:v>Pathologist</x:v>
      </x:c>
      <x:c r="H22" s="23" t="str">
        <x:v>Critical</x:v>
      </x:c>
      <x:c r="I22" s="23" t="str">
        <x:v>Yes</x:v>
      </x:c>
      <x:c r="J22" s="23" t="str"/>
      <x:c r="K22" s="23" t="str">
        <x:v>Required master data and user exist.</x:v>
      </x:c>
      <x:c r="L22" s="23" t="str">
        <x:v>Use dedicated non-production test data.</x:v>
      </x:c>
      <x:c r="M22" s="23" t="str">
        <x:v>1. Sign in as Pathologist. 2. Release the Approved report. 3. Save or submit. 4. Refresh or reopen the record. 5. Compare the result with the pass condition.</x:v>
      </x:c>
      <x:c r="N22" s="23" t="str">
        <x:v>The report becomes Released and is available to authorized portals.</x:v>
      </x:c>
      <x:c r="O22" s="26" t="str">
        <x:v>Not Run</x:v>
      </x:c>
      <x:c r="P22" s="26" t="str"/>
      <x:c r="Q22" s="26" t="str"/>
      <x:c r="R22" s="26" t="str"/>
      <x:c r="S22" s="26" t="str"/>
      <x:c r="T22" s="26" t="str"/>
      <x:c r="U22" s="26" t="str">
        <x:v>QA</x:v>
      </x:c>
      <x:c r="V22" s="26" t="str"/>
      <x:c r="W22" s="29" t="str"/>
      <x:c r="X22" s="26" t="str"/>
      <x:c r="Y22" s="26" t="str">
        <x:v>Not Required</x:v>
      </x:c>
      <x:c r="Z22" s="26" t="str"/>
      <x:c r="AA22" s="28" t="n">
        <x:f>IF(OR(O22="Passed",O22="Failed",O22="Blocked"),1,0)</x:f>
        <x:v>0</x:v>
      </x:c>
      <x:c r="AB22" s="28" t="n">
        <x:f>IF(O22="Passed",1,0)</x:f>
        <x:v>0</x:v>
      </x:c>
      <x:c r="AC22" s="28" t="n">
        <x:f>IF(AND(OR(R22="Critical",R22="High"),OR(O22="Failed",O22="Blocked"),S22&lt;&gt;"Closed",S22&lt;&gt;"Rejected"),1,0)</x:f>
        <x:v>0</x:v>
      </x:c>
      <x:c r="AD22" s="28" t="n">
        <x:f>IF(X22&lt;&gt;"",1,0)</x:f>
        <x:v>0</x:v>
      </x:c>
      <x:c r="AE22" s="28" t="n">
        <x:f>IF(J22&lt;&gt;"",1,0)</x:f>
        <x:v>0</x:v>
      </x:c>
    </x:row>
    <x:row r="23">
      <x:c r="A23" s="23" t="str">
        <x:v>L1-018</x:v>
      </x:c>
      <x:c r="B23" s="23" t="str">
        <x:v>Level 1</x:v>
      </x:c>
      <x:c r="C23" s="23" t="str">
        <x:v>Notifications</x:v>
      </x:c>
      <x:c r="D23" s="23" t="str"/>
      <x:c r="E23" s="23" t="str">
        <x:v>Check report release notification</x:v>
      </x:c>
      <x:c r="F23" s="23" t="str">
        <x:v>Smoke</x:v>
      </x:c>
      <x:c r="G23" s="23" t="str">
        <x:v>Lab Manager</x:v>
      </x:c>
      <x:c r="H23" s="23" t="str">
        <x:v>High</x:v>
      </x:c>
      <x:c r="I23" s="23" t="str">
        <x:v>Yes</x:v>
      </x:c>
      <x:c r="J23" s="23" t="str">
        <x:v>Included missed flow step</x:v>
      </x:c>
      <x:c r="K23" s="23" t="str">
        <x:v>Required master data and user exist.</x:v>
      </x:c>
      <x:c r="L23" s="23" t="str">
        <x:v>Use dedicated non-production test data.</x:v>
      </x:c>
      <x:c r="M23" s="23" t="str">
        <x:v>1. Sign in as Lab Manager. 2. Refresh notifications after report release. 3. Save or submit. 4. Refresh or reopen the record. 5. Compare the result with the pass condition.</x:v>
      </x:c>
      <x:c r="N23" s="23" t="str">
        <x:v>Authorized users receive the correct report-release notification where implemented.</x:v>
      </x:c>
      <x:c r="O23" s="26" t="str">
        <x:v>Not Run</x:v>
      </x:c>
      <x:c r="P23" s="26" t="str"/>
      <x:c r="Q23" s="26" t="str"/>
      <x:c r="R23" s="26" t="str"/>
      <x:c r="S23" s="26" t="str"/>
      <x:c r="T23" s="26" t="str"/>
      <x:c r="U23" s="26" t="str">
        <x:v>QA</x:v>
      </x:c>
      <x:c r="V23" s="26" t="str"/>
      <x:c r="W23" s="29" t="str"/>
      <x:c r="X23" s="26" t="str"/>
      <x:c r="Y23" s="26" t="str">
        <x:v>Not Required</x:v>
      </x:c>
      <x:c r="Z23" s="26" t="str"/>
      <x:c r="AA23" s="28" t="n">
        <x:f>IF(OR(O23="Passed",O23="Failed",O23="Blocked"),1,0)</x:f>
        <x:v>0</x:v>
      </x:c>
      <x:c r="AB23" s="28" t="n">
        <x:f>IF(O23="Passed",1,0)</x:f>
        <x:v>0</x:v>
      </x:c>
      <x:c r="AC23" s="28" t="n">
        <x:f>IF(AND(OR(R23="Critical",R23="High"),OR(O23="Failed",O23="Blocked"),S23&lt;&gt;"Closed",S23&lt;&gt;"Rejected"),1,0)</x:f>
        <x:v>0</x:v>
      </x:c>
      <x:c r="AD23" s="28" t="n">
        <x:f>IF(X23&lt;&gt;"",1,0)</x:f>
        <x:v>0</x:v>
      </x:c>
      <x:c r="AE23" s="28" t="n">
        <x:f>IF(J23&lt;&gt;"",1,0)</x:f>
        <x:v>1</x:v>
      </x:c>
    </x:row>
    <x:row r="24">
      <x:c r="A24" s="23" t="str">
        <x:v>L1-019</x:v>
      </x:c>
      <x:c r="B24" s="23" t="str">
        <x:v>Level 1</x:v>
      </x:c>
      <x:c r="C24" s="23" t="str">
        <x:v>Doctor Portal</x:v>
      </x:c>
      <x:c r="D24" s="23" t="str"/>
      <x:c r="E24" s="23" t="str">
        <x:v>View the referred patient's report</x:v>
      </x:c>
      <x:c r="F24" s="23" t="str">
        <x:v>Smoke</x:v>
      </x:c>
      <x:c r="G24" s="23" t="str">
        <x:v>Doctor Regular</x:v>
      </x:c>
      <x:c r="H24" s="23" t="str">
        <x:v>High</x:v>
      </x:c>
      <x:c r="I24" s="23" t="str">
        <x:v>Yes</x:v>
      </x:c>
      <x:c r="J24" s="23" t="str"/>
      <x:c r="K24" s="23" t="str">
        <x:v>Required master data and user exist.</x:v>
      </x:c>
      <x:c r="L24" s="23" t="str">
        <x:v>Use dedicated non-production test data.</x:v>
      </x:c>
      <x:c r="M24" s="23" t="str">
        <x:v>1. Sign in as Doctor Regular. 2. Sign in as the linked doctor and open the referred patient. 3. Save or submit. 4. Refresh or reopen the record. 5. Compare the result with the pass condition.</x:v>
      </x:c>
      <x:c r="N24" s="23" t="str">
        <x:v>Only owned referrals and Released reports are visible.</x:v>
      </x:c>
      <x:c r="O24" s="26" t="str">
        <x:v>Not Run</x:v>
      </x:c>
      <x:c r="P24" s="26" t="str"/>
      <x:c r="Q24" s="26" t="str"/>
      <x:c r="R24" s="26" t="str"/>
      <x:c r="S24" s="26" t="str"/>
      <x:c r="T24" s="26" t="str"/>
      <x:c r="U24" s="26" t="str">
        <x:v>QA</x:v>
      </x:c>
      <x:c r="V24" s="26" t="str"/>
      <x:c r="W24" s="29" t="str"/>
      <x:c r="X24" s="26" t="str"/>
      <x:c r="Y24" s="26" t="str">
        <x:v>Not Required</x:v>
      </x:c>
      <x:c r="Z24" s="26" t="str"/>
      <x:c r="AA24" s="28" t="n">
        <x:f>IF(OR(O24="Passed",O24="Failed",O24="Blocked"),1,0)</x:f>
        <x:v>0</x:v>
      </x:c>
      <x:c r="AB24" s="28" t="n">
        <x:f>IF(O24="Passed",1,0)</x:f>
        <x:v>0</x:v>
      </x:c>
      <x:c r="AC24" s="28" t="n">
        <x:f>IF(AND(OR(R24="Critical",R24="High"),OR(O24="Failed",O24="Blocked"),S24&lt;&gt;"Closed",S24&lt;&gt;"Rejected"),1,0)</x:f>
        <x:v>0</x:v>
      </x:c>
      <x:c r="AD24" s="28" t="n">
        <x:f>IF(X24&lt;&gt;"",1,0)</x:f>
        <x:v>0</x:v>
      </x:c>
      <x:c r="AE24" s="28" t="n">
        <x:f>IF(J24&lt;&gt;"",1,0)</x:f>
        <x:v>0</x:v>
      </x:c>
    </x:row>
    <x:row r="25">
      <x:c r="A25" s="23" t="str">
        <x:v>L1-020</x:v>
      </x:c>
      <x:c r="B25" s="23" t="str">
        <x:v>Level 1</x:v>
      </x:c>
      <x:c r="C25" s="23" t="str">
        <x:v>Patient Portal</x:v>
      </x:c>
      <x:c r="D25" s="23" t="str"/>
      <x:c r="E25" s="23" t="str">
        <x:v>Activate patient access</x:v>
      </x:c>
      <x:c r="F25" s="23" t="str">
        <x:v>Smoke</x:v>
      </x:c>
      <x:c r="G25" s="23" t="str">
        <x:v>Patient</x:v>
      </x:c>
      <x:c r="H25" s="23" t="str">
        <x:v>High</x:v>
      </x:c>
      <x:c r="I25" s="23" t="str">
        <x:v>Yes</x:v>
      </x:c>
      <x:c r="J25" s="23" t="str"/>
      <x:c r="K25" s="23" t="str">
        <x:v>Required master data and user exist.</x:v>
      </x:c>
      <x:c r="L25" s="23" t="str">
        <x:v>Use dedicated non-production test data.</x:v>
      </x:c>
      <x:c r="M25" s="23" t="str">
        <x:v>1. Sign in as Patient. 2. Issue QR/PIN, activate with DOB and set the portal PIN. 3. Save or submit. 4. Refresh or reopen the record. 5. Compare the result with the pass condition.</x:v>
      </x:c>
      <x:c r="N25" s="23" t="str">
        <x:v>The patient session is created and old one-time credentials cannot be reused.</x:v>
      </x:c>
      <x:c r="O25" s="26" t="str">
        <x:v>Not Run</x:v>
      </x:c>
      <x:c r="P25" s="26" t="str"/>
      <x:c r="Q25" s="26" t="str"/>
      <x:c r="R25" s="26" t="str"/>
      <x:c r="S25" s="26" t="str"/>
      <x:c r="T25" s="26" t="str"/>
      <x:c r="U25" s="26" t="str">
        <x:v>QA</x:v>
      </x:c>
      <x:c r="V25" s="26" t="str"/>
      <x:c r="W25" s="29" t="str"/>
      <x:c r="X25" s="26" t="str"/>
      <x:c r="Y25" s="26" t="str">
        <x:v>Not Required</x:v>
      </x:c>
      <x:c r="Z25" s="26" t="str"/>
      <x:c r="AA25" s="28" t="n">
        <x:f>IF(OR(O25="Passed",O25="Failed",O25="Blocked"),1,0)</x:f>
        <x:v>0</x:v>
      </x:c>
      <x:c r="AB25" s="28" t="n">
        <x:f>IF(O25="Passed",1,0)</x:f>
        <x:v>0</x:v>
      </x:c>
      <x:c r="AC25" s="28" t="n">
        <x:f>IF(AND(OR(R25="Critical",R25="High"),OR(O25="Failed",O25="Blocked"),S25&lt;&gt;"Closed",S25&lt;&gt;"Rejected"),1,0)</x:f>
        <x:v>0</x:v>
      </x:c>
      <x:c r="AD25" s="28" t="n">
        <x:f>IF(X25&lt;&gt;"",1,0)</x:f>
        <x:v>0</x:v>
      </x:c>
      <x:c r="AE25" s="28" t="n">
        <x:f>IF(J25&lt;&gt;"",1,0)</x:f>
        <x:v>0</x:v>
      </x:c>
    </x:row>
    <x:row r="26">
      <x:c r="A26" s="23" t="str">
        <x:v>L1-021</x:v>
      </x:c>
      <x:c r="B26" s="23" t="str">
        <x:v>Level 1</x:v>
      </x:c>
      <x:c r="C26" s="23" t="str">
        <x:v>Patient Portal</x:v>
      </x:c>
      <x:c r="D26" s="23" t="str"/>
      <x:c r="E26" s="23" t="str">
        <x:v>View patient bill and report</x:v>
      </x:c>
      <x:c r="F26" s="23" t="str">
        <x:v>Smoke</x:v>
      </x:c>
      <x:c r="G26" s="23" t="str">
        <x:v>Patient</x:v>
      </x:c>
      <x:c r="H26" s="23" t="str">
        <x:v>High</x:v>
      </x:c>
      <x:c r="I26" s="23" t="str">
        <x:v>Yes</x:v>
      </x:c>
      <x:c r="J26" s="23" t="str"/>
      <x:c r="K26" s="23" t="str">
        <x:v>Required master data and user exist.</x:v>
      </x:c>
      <x:c r="L26" s="23" t="str">
        <x:v>Use dedicated non-production test data.</x:v>
      </x:c>
      <x:c r="M26" s="23" t="str">
        <x:v>1. Sign in as Patient. 2. Open Bills, Receipts and Reports. 3. Save or submit. 4. Refresh or reopen the record. 5. Compare the result with the pass condition.</x:v>
      </x:c>
      <x:c r="N26" s="23" t="str">
        <x:v>Only the patient's own financial data and Released reports are visible.</x:v>
      </x:c>
      <x:c r="O26" s="26" t="str">
        <x:v>Not Run</x:v>
      </x:c>
      <x:c r="P26" s="26" t="str"/>
      <x:c r="Q26" s="26" t="str"/>
      <x:c r="R26" s="26" t="str"/>
      <x:c r="S26" s="26" t="str"/>
      <x:c r="T26" s="26" t="str"/>
      <x:c r="U26" s="26" t="str">
        <x:v>QA</x:v>
      </x:c>
      <x:c r="V26" s="26" t="str"/>
      <x:c r="W26" s="29" t="str"/>
      <x:c r="X26" s="26" t="str"/>
      <x:c r="Y26" s="26" t="str">
        <x:v>Not Required</x:v>
      </x:c>
      <x:c r="Z26" s="26" t="str"/>
      <x:c r="AA26" s="28" t="n">
        <x:f>IF(OR(O26="Passed",O26="Failed",O26="Blocked"),1,0)</x:f>
        <x:v>0</x:v>
      </x:c>
      <x:c r="AB26" s="28" t="n">
        <x:f>IF(O26="Passed",1,0)</x:f>
        <x:v>0</x:v>
      </x:c>
      <x:c r="AC26" s="28" t="n">
        <x:f>IF(AND(OR(R26="Critical",R26="High"),OR(O26="Failed",O26="Blocked"),S26&lt;&gt;"Closed",S26&lt;&gt;"Rejected"),1,0)</x:f>
        <x:v>0</x:v>
      </x:c>
      <x:c r="AD26" s="28" t="n">
        <x:f>IF(X26&lt;&gt;"",1,0)</x:f>
        <x:v>0</x:v>
      </x:c>
      <x:c r="AE26" s="28" t="n">
        <x:f>IF(J26&lt;&gt;"",1,0)</x:f>
        <x:v>0</x:v>
      </x:c>
    </x:row>
    <x:row r="27">
      <x:c r="A27" s="23" t="str">
        <x:v>L1-022</x:v>
      </x:c>
      <x:c r="B27" s="23" t="str">
        <x:v>Level 1</x:v>
      </x:c>
      <x:c r="C27" s="23" t="str">
        <x:v>Billing</x:v>
      </x:c>
      <x:c r="D27" s="23" t="str"/>
      <x:c r="E27" s="23" t="str">
        <x:v>Complete payment</x:v>
      </x:c>
      <x:c r="F27" s="23" t="str">
        <x:v>Smoke</x:v>
      </x:c>
      <x:c r="G27" s="23" t="str">
        <x:v>Billing Cashier</x:v>
      </x:c>
      <x:c r="H27" s="23" t="str">
        <x:v>Critical</x:v>
      </x:c>
      <x:c r="I27" s="23" t="str">
        <x:v>Yes</x:v>
      </x:c>
      <x:c r="J27" s="23" t="str"/>
      <x:c r="K27" s="23" t="str">
        <x:v>Required master data and user exist.</x:v>
      </x:c>
      <x:c r="L27" s="23" t="str">
        <x:v>Use dedicated non-production test data.</x:v>
      </x:c>
      <x:c r="M27" s="23" t="str">
        <x:v>1. Sign in as Billing Cashier. 2. Pay the remaining balance and issue the final receipt. 3. Save or submit. 4. Refresh or reopen the record. 5. Compare the result with the pass condition.</x:v>
      </x:c>
      <x:c r="N27" s="23" t="str">
        <x:v>Bill status becomes Paid and balance becomes zero.</x:v>
      </x:c>
      <x:c r="O27" s="26" t="str">
        <x:v>Not Run</x:v>
      </x:c>
      <x:c r="P27" s="26" t="str"/>
      <x:c r="Q27" s="26" t="str"/>
      <x:c r="R27" s="26" t="str"/>
      <x:c r="S27" s="26" t="str"/>
      <x:c r="T27" s="26" t="str"/>
      <x:c r="U27" s="26" t="str">
        <x:v>QA</x:v>
      </x:c>
      <x:c r="V27" s="26" t="str"/>
      <x:c r="W27" s="29" t="str"/>
      <x:c r="X27" s="26" t="str"/>
      <x:c r="Y27" s="26" t="str">
        <x:v>Not Required</x:v>
      </x:c>
      <x:c r="Z27" s="26" t="str"/>
      <x:c r="AA27" s="28" t="n">
        <x:f>IF(OR(O27="Passed",O27="Failed",O27="Blocked"),1,0)</x:f>
        <x:v>0</x:v>
      </x:c>
      <x:c r="AB27" s="28" t="n">
        <x:f>IF(O27="Passed",1,0)</x:f>
        <x:v>0</x:v>
      </x:c>
      <x:c r="AC27" s="28" t="n">
        <x:f>IF(AND(OR(R27="Critical",R27="High"),OR(O27="Failed",O27="Blocked"),S27&lt;&gt;"Closed",S27&lt;&gt;"Rejected"),1,0)</x:f>
        <x:v>0</x:v>
      </x:c>
      <x:c r="AD27" s="28" t="n">
        <x:f>IF(X27&lt;&gt;"",1,0)</x:f>
        <x:v>0</x:v>
      </x:c>
      <x:c r="AE27" s="28" t="n">
        <x:f>IF(J27&lt;&gt;"",1,0)</x:f>
        <x:v>0</x:v>
      </x:c>
    </x:row>
    <x:row r="28">
      <x:c r="A28" s="23" t="str">
        <x:v>L1-023</x:v>
      </x:c>
      <x:c r="B28" s="23" t="str">
        <x:v>Level 1</x:v>
      </x:c>
      <x:c r="C28" s="23" t="str">
        <x:v>Accounts</x:v>
      </x:c>
      <x:c r="D28" s="23" t="str"/>
      <x:c r="E28" s="23" t="str">
        <x:v>Reconcile invoice and payments</x:v>
      </x:c>
      <x:c r="F28" s="23" t="str">
        <x:v>Smoke</x:v>
      </x:c>
      <x:c r="G28" s="23" t="str">
        <x:v>Accounts Manager</x:v>
      </x:c>
      <x:c r="H28" s="23" t="str">
        <x:v>High</x:v>
      </x:c>
      <x:c r="I28" s="23" t="str">
        <x:v>Yes</x:v>
      </x:c>
      <x:c r="J28" s="23" t="str"/>
      <x:c r="K28" s="23" t="str">
        <x:v>Required master data and user exist.</x:v>
      </x:c>
      <x:c r="L28" s="23" t="str">
        <x:v>Use dedicated non-production test data.</x:v>
      </x:c>
      <x:c r="M28" s="23" t="str">
        <x:v>1. Sign in as Accounts Manager. 2. Compare bill, receipts, journal, ledger and doctor commission. 3. Save or submit. 4. Refresh or reopen the record. 5. Compare the result with the pass condition.</x:v>
      </x:c>
      <x:c r="N28" s="23" t="str">
        <x:v>All amounts balance and record IDs link correctly.</x:v>
      </x:c>
      <x:c r="O28" s="26" t="str">
        <x:v>Not Run</x:v>
      </x:c>
      <x:c r="P28" s="26" t="str"/>
      <x:c r="Q28" s="26" t="str"/>
      <x:c r="R28" s="26" t="str"/>
      <x:c r="S28" s="26" t="str"/>
      <x:c r="T28" s="26" t="str"/>
      <x:c r="U28" s="26" t="str">
        <x:v>QA</x:v>
      </x:c>
      <x:c r="V28" s="26" t="str"/>
      <x:c r="W28" s="29" t="str"/>
      <x:c r="X28" s="26" t="str"/>
      <x:c r="Y28" s="26" t="str">
        <x:v>Not Required</x:v>
      </x:c>
      <x:c r="Z28" s="26" t="str"/>
      <x:c r="AA28" s="28" t="n">
        <x:f>IF(OR(O28="Passed",O28="Failed",O28="Blocked"),1,0)</x:f>
        <x:v>0</x:v>
      </x:c>
      <x:c r="AB28" s="28" t="n">
        <x:f>IF(O28="Passed",1,0)</x:f>
        <x:v>0</x:v>
      </x:c>
      <x:c r="AC28" s="28" t="n">
        <x:f>IF(AND(OR(R28="Critical",R28="High"),OR(O28="Failed",O28="Blocked"),S28&lt;&gt;"Closed",S28&lt;&gt;"Rejected"),1,0)</x:f>
        <x:v>0</x:v>
      </x:c>
      <x:c r="AD28" s="28" t="n">
        <x:f>IF(X28&lt;&gt;"",1,0)</x:f>
        <x:v>0</x:v>
      </x:c>
      <x:c r="AE28" s="28" t="n">
        <x:f>IF(J28&lt;&gt;"",1,0)</x:f>
        <x:v>0</x:v>
      </x:c>
    </x:row>
    <x:row r="29">
      <x:c r="A29" s="23" t="str">
        <x:v>L1-024</x:v>
      </x:c>
      <x:c r="B29" s="23" t="str">
        <x:v>Level 1</x:v>
      </x:c>
      <x:c r="C29" s="23" t="str">
        <x:v>Audit</x:v>
      </x:c>
      <x:c r="D29" s="23" t="str"/>
      <x:c r="E29" s="23" t="str">
        <x:v>Check core audit evidence</x:v>
      </x:c>
      <x:c r="F29" s="23" t="str">
        <x:v>Smoke</x:v>
      </x:c>
      <x:c r="G29" s="23" t="str">
        <x:v>Admin</x:v>
      </x:c>
      <x:c r="H29" s="23" t="str">
        <x:v>High</x:v>
      </x:c>
      <x:c r="I29" s="23" t="str">
        <x:v>Yes</x:v>
      </x:c>
      <x:c r="J29" s="23" t="str">
        <x:v>Included missed flow step</x:v>
      </x:c>
      <x:c r="K29" s="23" t="str">
        <x:v>Required master data and user exist.</x:v>
      </x:c>
      <x:c r="L29" s="23" t="str">
        <x:v>Use dedicated non-production test data.</x:v>
      </x:c>
      <x:c r="M29" s="23" t="str">
        <x:v>1. Sign in as Admin. 2. Review audit records for login, billing, sample and report release. 3. Save or submit. 4. Refresh or reopen the record. 5. Compare the result with the pass condition.</x:v>
      </x:c>
      <x:c r="N29" s="23" t="str">
        <x:v>Available audit records identify actor, action, time and object; missing coverage is logged as a gap.</x:v>
      </x:c>
      <x:c r="O29" s="26" t="str">
        <x:v>Not Run</x:v>
      </x:c>
      <x:c r="P29" s="26" t="str"/>
      <x:c r="Q29" s="26" t="str"/>
      <x:c r="R29" s="26" t="str"/>
      <x:c r="S29" s="26" t="str"/>
      <x:c r="T29" s="26" t="str"/>
      <x:c r="U29" s="26" t="str">
        <x:v>QA</x:v>
      </x:c>
      <x:c r="V29" s="26" t="str"/>
      <x:c r="W29" s="29" t="str"/>
      <x:c r="X29" s="26" t="str"/>
      <x:c r="Y29" s="26" t="str">
        <x:v>Not Required</x:v>
      </x:c>
      <x:c r="Z29" s="26" t="str"/>
      <x:c r="AA29" s="28" t="n">
        <x:f>IF(OR(O29="Passed",O29="Failed",O29="Blocked"),1,0)</x:f>
        <x:v>0</x:v>
      </x:c>
      <x:c r="AB29" s="28" t="n">
        <x:f>IF(O29="Passed",1,0)</x:f>
        <x:v>0</x:v>
      </x:c>
      <x:c r="AC29" s="28" t="n">
        <x:f>IF(AND(OR(R29="Critical",R29="High"),OR(O29="Failed",O29="Blocked"),S29&lt;&gt;"Closed",S29&lt;&gt;"Rejected"),1,0)</x:f>
        <x:v>0</x:v>
      </x:c>
      <x:c r="AD29" s="28" t="n">
        <x:f>IF(X29&lt;&gt;"",1,0)</x:f>
        <x:v>0</x:v>
      </x:c>
      <x:c r="AE29" s="28" t="n">
        <x:f>IF(J29&lt;&gt;"",1,0)</x:f>
        <x:v>1</x:v>
      </x:c>
    </x:row>
    <x:row r="30">
      <x:c r="A30" s="23" t="str">
        <x:v>L1-025</x:v>
      </x:c>
      <x:c r="B30" s="23" t="str">
        <x:v>Level 1</x:v>
      </x:c>
      <x:c r="C30" s="23" t="str">
        <x:v>Security</x:v>
      </x:c>
      <x:c r="D30" s="23" t="str"/>
      <x:c r="E30" s="23" t="str">
        <x:v>Check tenant isolation</x:v>
      </x:c>
      <x:c r="F30" s="23" t="str">
        <x:v>Smoke</x:v>
      </x:c>
      <x:c r="G30" s="23" t="str">
        <x:v>Admin</x:v>
      </x:c>
      <x:c r="H30" s="23" t="str">
        <x:v>Critical</x:v>
      </x:c>
      <x:c r="I30" s="23" t="str">
        <x:v>Yes</x:v>
      </x:c>
      <x:c r="J30" s="23" t="str">
        <x:v>Included missed flow step</x:v>
      </x:c>
      <x:c r="K30" s="23" t="str">
        <x:v>Required master data and user exist.</x:v>
      </x:c>
      <x:c r="L30" s="23" t="str">
        <x:v>Use dedicated non-production test data.</x:v>
      </x:c>
      <x:c r="M30" s="23" t="str">
        <x:v>1. Sign in as Admin. 2. Try to open a record from another tenant using its ID. 3. Save or submit. 4. Refresh or reopen the record. 5. Compare the result with the pass condition.</x:v>
      </x:c>
      <x:c r="N30" s="23" t="str">
        <x:v>The record is denied or not found and no data is disclosed.</x:v>
      </x:c>
      <x:c r="O30" s="26" t="str">
        <x:v>Not Run</x:v>
      </x:c>
      <x:c r="P30" s="26" t="str"/>
      <x:c r="Q30" s="26" t="str"/>
      <x:c r="R30" s="26" t="str"/>
      <x:c r="S30" s="26" t="str"/>
      <x:c r="T30" s="26" t="str"/>
      <x:c r="U30" s="26" t="str">
        <x:v>QA</x:v>
      </x:c>
      <x:c r="V30" s="26" t="str"/>
      <x:c r="W30" s="29" t="str"/>
      <x:c r="X30" s="26" t="str"/>
      <x:c r="Y30" s="26" t="str">
        <x:v>Not Required</x:v>
      </x:c>
      <x:c r="Z30" s="26" t="str"/>
      <x:c r="AA30" s="28" t="n">
        <x:f>IF(OR(O30="Passed",O30="Failed",O30="Blocked"),1,0)</x:f>
        <x:v>0</x:v>
      </x:c>
      <x:c r="AB30" s="28" t="n">
        <x:f>IF(O30="Passed",1,0)</x:f>
        <x:v>0</x:v>
      </x:c>
      <x:c r="AC30" s="28" t="n">
        <x:f>IF(AND(OR(R30="Critical",R30="High"),OR(O30="Failed",O30="Blocked"),S30&lt;&gt;"Closed",S30&lt;&gt;"Rejected"),1,0)</x:f>
        <x:v>0</x:v>
      </x:c>
      <x:c r="AD30" s="28" t="n">
        <x:f>IF(X30&lt;&gt;"",1,0)</x:f>
        <x:v>0</x:v>
      </x:c>
      <x:c r="AE30" s="28" t="n">
        <x:f>IF(J30&lt;&gt;"",1,0)</x:f>
        <x:v>1</x:v>
      </x:c>
    </x:row>
    <x:row r="31">
      <x:c r="A31" s="23" t="str">
        <x:v>L1-026</x:v>
      </x:c>
      <x:c r="B31" s="23" t="str">
        <x:v>Level 1</x:v>
      </x:c>
      <x:c r="C31" s="23" t="str">
        <x:v>Workflow</x:v>
      </x:c>
      <x:c r="D31" s="23" t="str"/>
      <x:c r="E31" s="23" t="str">
        <x:v>Run the complete second patient flow</x:v>
      </x:c>
      <x:c r="F31" s="23" t="str">
        <x:v>Smoke</x:v>
      </x:c>
      <x:c r="G31" s="23" t="str">
        <x:v>QA Tester</x:v>
      </x:c>
      <x:c r="H31" s="23" t="str">
        <x:v>High</x:v>
      </x:c>
      <x:c r="I31" s="23" t="str">
        <x:v>Yes</x:v>
      </x:c>
      <x:c r="J31" s="23" t="str"/>
      <x:c r="K31" s="23" t="str">
        <x:v>Required master data and user exist.</x:v>
      </x:c>
      <x:c r="L31" s="23" t="str">
        <x:v>Use dedicated non-production test data.</x:v>
      </x:c>
      <x:c r="M31" s="23" t="str">
        <x:v>1. Sign in as QA Tester. 2. Repeat patient-to-report flow with a package, urgent priority and full payment. 3. Save or submit. 4. Refresh or reopen the record. 5. Compare the result with the pass condition.</x:v>
      </x:c>
      <x:c r="N31" s="23" t="str">
        <x:v>The complete workflow passes without stale or mismatched links.</x:v>
      </x:c>
      <x:c r="O31" s="26" t="str">
        <x:v>Not Run</x:v>
      </x:c>
      <x:c r="P31" s="26" t="str"/>
      <x:c r="Q31" s="26" t="str"/>
      <x:c r="R31" s="26" t="str"/>
      <x:c r="S31" s="26" t="str"/>
      <x:c r="T31" s="26" t="str"/>
      <x:c r="U31" s="26" t="str">
        <x:v>QA</x:v>
      </x:c>
      <x:c r="V31" s="26" t="str"/>
      <x:c r="W31" s="29" t="str"/>
      <x:c r="X31" s="26" t="str"/>
      <x:c r="Y31" s="26" t="str">
        <x:v>Not Required</x:v>
      </x:c>
      <x:c r="Z31" s="26" t="str"/>
      <x:c r="AA31" s="28" t="n">
        <x:f>IF(OR(O31="Passed",O31="Failed",O31="Blocked"),1,0)</x:f>
        <x:v>0</x:v>
      </x:c>
      <x:c r="AB31" s="28" t="n">
        <x:f>IF(O31="Passed",1,0)</x:f>
        <x:v>0</x:v>
      </x:c>
      <x:c r="AC31" s="28" t="n">
        <x:f>IF(AND(OR(R31="Critical",R31="High"),OR(O31="Failed",O31="Blocked"),S31&lt;&gt;"Closed",S31&lt;&gt;"Rejected"),1,0)</x:f>
        <x:v>0</x:v>
      </x:c>
      <x:c r="AD31" s="28" t="n">
        <x:f>IF(X31&lt;&gt;"",1,0)</x:f>
        <x:v>0</x:v>
      </x:c>
      <x:c r="AE31" s="28" t="n">
        <x:f>IF(J31&lt;&gt;"",1,0)</x:f>
        <x:v>0</x:v>
      </x:c>
    </x:row>
    <x:row r="32">
      <x:c r="A32" s="23" t="str">
        <x:v>L2-001</x:v>
      </x:c>
      <x:c r="B32" s="23" t="str">
        <x:v>Level 2</x:v>
      </x:c>
      <x:c r="C32" s="23" t="str">
        <x:v>Authentication &amp; Session</x:v>
      </x:c>
      <x:c r="D32" s="23" t="str"/>
      <x:c r="E32" s="23" t="str">
        <x:v>Valid login</x:v>
      </x:c>
      <x:c r="F32" s="23" t="str">
        <x:v>Functional</x:v>
      </x:c>
      <x:c r="G32" s="23" t="str">
        <x:v>Tenant User</x:v>
      </x:c>
      <x:c r="H32" s="23" t="str">
        <x:v>Medium</x:v>
      </x:c>
      <x:c r="I32" s="23" t="str">
        <x:v>No</x:v>
      </x:c>
      <x:c r="J32" s="23" t="str"/>
      <x:c r="K32" s="23" t="str">
        <x:v>Required master data and user exist.</x:v>
      </x:c>
      <x:c r="L32" s="23" t="str">
        <x:v>Use dedicated non-production test data.</x:v>
      </x:c>
      <x:c r="M32" s="23" t="str">
        <x:v>1. Sign in as Tenant User. 2. Enter valid tenant credentials. 3. Save or submit. 4. Refresh or reopen the record. 5. Compare the result with the pass condition.</x:v>
      </x:c>
      <x:c r="N32" s="23" t="str">
        <x:v>Dashboard opens and a secure tenant session is created.</x:v>
      </x:c>
      <x:c r="O32" s="26" t="str">
        <x:v>Not Run</x:v>
      </x:c>
      <x:c r="P32" s="26" t="str"/>
      <x:c r="Q32" s="26" t="str"/>
      <x:c r="R32" s="26" t="str"/>
      <x:c r="S32" s="26" t="str"/>
      <x:c r="T32" s="26" t="str"/>
      <x:c r="U32" s="26" t="str">
        <x:v>QA</x:v>
      </x:c>
      <x:c r="V32" s="26" t="str"/>
      <x:c r="W32" s="29" t="str"/>
      <x:c r="X32" s="26" t="str"/>
      <x:c r="Y32" s="26" t="str">
        <x:v>Not Required</x:v>
      </x:c>
      <x:c r="Z32" s="26" t="str"/>
      <x:c r="AA32" s="28" t="n">
        <x:f>IF(OR(O32="Passed",O32="Failed",O32="Blocked"),1,0)</x:f>
        <x:v>0</x:v>
      </x:c>
      <x:c r="AB32" s="28" t="n">
        <x:f>IF(O32="Passed",1,0)</x:f>
        <x:v>0</x:v>
      </x:c>
      <x:c r="AC32" s="28" t="n">
        <x:f>IF(AND(OR(R32="Critical",R32="High"),OR(O32="Failed",O32="Blocked"),S32&lt;&gt;"Closed",S32&lt;&gt;"Rejected"),1,0)</x:f>
        <x:v>0</x:v>
      </x:c>
      <x:c r="AD32" s="28" t="n">
        <x:f>IF(X32&lt;&gt;"",1,0)</x:f>
        <x:v>0</x:v>
      </x:c>
      <x:c r="AE32" s="28" t="n">
        <x:f>IF(J32&lt;&gt;"",1,0)</x:f>
        <x:v>0</x:v>
      </x:c>
    </x:row>
    <x:row r="33">
      <x:c r="A33" s="23" t="str">
        <x:v>L2-002</x:v>
      </x:c>
      <x:c r="B33" s="23" t="str">
        <x:v>Level 2</x:v>
      </x:c>
      <x:c r="C33" s="23" t="str">
        <x:v>Authentication &amp; Session</x:v>
      </x:c>
      <x:c r="D33" s="23" t="str"/>
      <x:c r="E33" s="23" t="str">
        <x:v>Invalid password</x:v>
      </x:c>
      <x:c r="F33" s="23" t="str">
        <x:v>Negative</x:v>
      </x:c>
      <x:c r="G33" s="23" t="str">
        <x:v>Tenant User</x:v>
      </x:c>
      <x:c r="H33" s="23" t="str">
        <x:v>High</x:v>
      </x:c>
      <x:c r="I33" s="23" t="str">
        <x:v>No</x:v>
      </x:c>
      <x:c r="J33" s="23" t="str"/>
      <x:c r="K33" s="23" t="str">
        <x:v>Required master data and user exist.</x:v>
      </x:c>
      <x:c r="L33" s="23" t="str">
        <x:v>Use dedicated non-production test data.</x:v>
      </x:c>
      <x:c r="M33" s="23" t="str">
        <x:v>1. Sign in as Tenant User. 2. Enter a valid user ID with a wrong password. 3. Save or submit. 4. Refresh or reopen the record. 5. Compare the result with the pass condition.</x:v>
      </x:c>
      <x:c r="N33" s="23" t="str">
        <x:v>Login fails without revealing sensitive account details.</x:v>
      </x:c>
      <x:c r="O33" s="26" t="str">
        <x:v>Not Run</x:v>
      </x:c>
      <x:c r="P33" s="26" t="str"/>
      <x:c r="Q33" s="26" t="str"/>
      <x:c r="R33" s="26" t="str"/>
      <x:c r="S33" s="26" t="str"/>
      <x:c r="T33" s="26" t="str"/>
      <x:c r="U33" s="26" t="str">
        <x:v>QA</x:v>
      </x:c>
      <x:c r="V33" s="26" t="str"/>
      <x:c r="W33" s="29" t="str"/>
      <x:c r="X33" s="26" t="str"/>
      <x:c r="Y33" s="26" t="str">
        <x:v>Not Required</x:v>
      </x:c>
      <x:c r="Z33" s="26" t="str"/>
      <x:c r="AA33" s="28" t="n">
        <x:f>IF(OR(O33="Passed",O33="Failed",O33="Blocked"),1,0)</x:f>
        <x:v>0</x:v>
      </x:c>
      <x:c r="AB33" s="28" t="n">
        <x:f>IF(O33="Passed",1,0)</x:f>
        <x:v>0</x:v>
      </x:c>
      <x:c r="AC33" s="28" t="n">
        <x:f>IF(AND(OR(R33="Critical",R33="High"),OR(O33="Failed",O33="Blocked"),S33&lt;&gt;"Closed",S33&lt;&gt;"Rejected"),1,0)</x:f>
        <x:v>0</x:v>
      </x:c>
      <x:c r="AD33" s="28" t="n">
        <x:f>IF(X33&lt;&gt;"",1,0)</x:f>
        <x:v>0</x:v>
      </x:c>
      <x:c r="AE33" s="28" t="n">
        <x:f>IF(J33&lt;&gt;"",1,0)</x:f>
        <x:v>0</x:v>
      </x:c>
    </x:row>
    <x:row r="34">
      <x:c r="A34" s="23" t="str">
        <x:v>L2-003</x:v>
      </x:c>
      <x:c r="B34" s="23" t="str">
        <x:v>Level 2</x:v>
      </x:c>
      <x:c r="C34" s="23" t="str">
        <x:v>Authentication &amp; Session</x:v>
      </x:c>
      <x:c r="D34" s="23" t="str"/>
      <x:c r="E34" s="23" t="str">
        <x:v>Inactive user</x:v>
      </x:c>
      <x:c r="F34" s="23" t="str">
        <x:v>Security</x:v>
      </x:c>
      <x:c r="G34" s="23" t="str">
        <x:v>Tenant User</x:v>
      </x:c>
      <x:c r="H34" s="23" t="str">
        <x:v>Critical</x:v>
      </x:c>
      <x:c r="I34" s="23" t="str">
        <x:v>Yes</x:v>
      </x:c>
      <x:c r="J34" s="23" t="str"/>
      <x:c r="K34" s="23" t="str">
        <x:v>Required master data and user exist.</x:v>
      </x:c>
      <x:c r="L34" s="23" t="str">
        <x:v>Use dedicated non-production test data.</x:v>
      </x:c>
      <x:c r="M34" s="23" t="str">
        <x:v>1. Sign in as Tenant User. 2. Disable a user and attempt login. 3. Save or submit. 4. Refresh or reopen the record. 5. Compare the result with the pass condition.</x:v>
      </x:c>
      <x:c r="N34" s="23" t="str">
        <x:v>Login is denied and the existing session is no longer useful.</x:v>
      </x:c>
      <x:c r="O34" s="26" t="str">
        <x:v>Not Run</x:v>
      </x:c>
      <x:c r="P34" s="26" t="str"/>
      <x:c r="Q34" s="26" t="str"/>
      <x:c r="R34" s="26" t="str"/>
      <x:c r="S34" s="26" t="str"/>
      <x:c r="T34" s="26" t="str"/>
      <x:c r="U34" s="26" t="str">
        <x:v>QA</x:v>
      </x:c>
      <x:c r="V34" s="26" t="str"/>
      <x:c r="W34" s="29" t="str"/>
      <x:c r="X34" s="26" t="str"/>
      <x:c r="Y34" s="26" t="str">
        <x:v>Not Required</x:v>
      </x:c>
      <x:c r="Z34" s="26" t="str"/>
      <x:c r="AA34" s="28" t="n">
        <x:f>IF(OR(O34="Passed",O34="Failed",O34="Blocked"),1,0)</x:f>
        <x:v>0</x:v>
      </x:c>
      <x:c r="AB34" s="28" t="n">
        <x:f>IF(O34="Passed",1,0)</x:f>
        <x:v>0</x:v>
      </x:c>
      <x:c r="AC34" s="28" t="n">
        <x:f>IF(AND(OR(R34="Critical",R34="High"),OR(O34="Failed",O34="Blocked"),S34&lt;&gt;"Closed",S34&lt;&gt;"Rejected"),1,0)</x:f>
        <x:v>0</x:v>
      </x:c>
      <x:c r="AD34" s="28" t="n">
        <x:f>IF(X34&lt;&gt;"",1,0)</x:f>
        <x:v>0</x:v>
      </x:c>
      <x:c r="AE34" s="28" t="n">
        <x:f>IF(J34&lt;&gt;"",1,0)</x:f>
        <x:v>0</x:v>
      </x:c>
    </x:row>
    <x:row r="35">
      <x:c r="A35" s="23" t="str">
        <x:v>L2-004</x:v>
      </x:c>
      <x:c r="B35" s="23" t="str">
        <x:v>Level 2</x:v>
      </x:c>
      <x:c r="C35" s="23" t="str">
        <x:v>Authentication &amp; Session</x:v>
      </x:c>
      <x:c r="D35" s="23" t="str"/>
      <x:c r="E35" s="23" t="str">
        <x:v>Temporary lockout</x:v>
      </x:c>
      <x:c r="F35" s="23" t="str">
        <x:v>Functional</x:v>
      </x:c>
      <x:c r="G35" s="23" t="str">
        <x:v>Tenant User</x:v>
      </x:c>
      <x:c r="H35" s="23" t="str">
        <x:v>Medium</x:v>
      </x:c>
      <x:c r="I35" s="23" t="str">
        <x:v>No</x:v>
      </x:c>
      <x:c r="J35" s="23" t="str"/>
      <x:c r="K35" s="23" t="str">
        <x:v>Required master data and user exist.</x:v>
      </x:c>
      <x:c r="L35" s="23" t="str">
        <x:v>Use dedicated non-production test data.</x:v>
      </x:c>
      <x:c r="M35" s="23" t="str">
        <x:v>1. Sign in as Tenant User. 2. Submit repeated wrong passwords. 3. Save or submit. 4. Refresh or reopen the record. 5. Compare the result with the pass condition.</x:v>
      </x:c>
      <x:c r="N35" s="23" t="str">
        <x:v>Rate limit or temporary lockout is applied.</x:v>
      </x:c>
      <x:c r="O35" s="26" t="str">
        <x:v>Not Run</x:v>
      </x:c>
      <x:c r="P35" s="26" t="str"/>
      <x:c r="Q35" s="26" t="str"/>
      <x:c r="R35" s="26" t="str"/>
      <x:c r="S35" s="26" t="str"/>
      <x:c r="T35" s="26" t="str"/>
      <x:c r="U35" s="26" t="str">
        <x:v>QA</x:v>
      </x:c>
      <x:c r="V35" s="26" t="str"/>
      <x:c r="W35" s="29" t="str"/>
      <x:c r="X35" s="26" t="str"/>
      <x:c r="Y35" s="26" t="str">
        <x:v>Not Required</x:v>
      </x:c>
      <x:c r="Z35" s="26" t="str"/>
      <x:c r="AA35" s="28" t="n">
        <x:f>IF(OR(O35="Passed",O35="Failed",O35="Blocked"),1,0)</x:f>
        <x:v>0</x:v>
      </x:c>
      <x:c r="AB35" s="28" t="n">
        <x:f>IF(O35="Passed",1,0)</x:f>
        <x:v>0</x:v>
      </x:c>
      <x:c r="AC35" s="28" t="n">
        <x:f>IF(AND(OR(R35="Critical",R35="High"),OR(O35="Failed",O35="Blocked"),S35&lt;&gt;"Closed",S35&lt;&gt;"Rejected"),1,0)</x:f>
        <x:v>0</x:v>
      </x:c>
      <x:c r="AD35" s="28" t="n">
        <x:f>IF(X35&lt;&gt;"",1,0)</x:f>
        <x:v>0</x:v>
      </x:c>
      <x:c r="AE35" s="28" t="n">
        <x:f>IF(J35&lt;&gt;"",1,0)</x:f>
        <x:v>0</x:v>
      </x:c>
    </x:row>
    <x:row r="36">
      <x:c r="A36" s="23" t="str">
        <x:v>L2-005</x:v>
      </x:c>
      <x:c r="B36" s="23" t="str">
        <x:v>Level 2</x:v>
      </x:c>
      <x:c r="C36" s="23" t="str">
        <x:v>Authentication &amp; Session</x:v>
      </x:c>
      <x:c r="D36" s="23" t="str"/>
      <x:c r="E36" s="23" t="str">
        <x:v>Forgot password</x:v>
      </x:c>
      <x:c r="F36" s="23" t="str">
        <x:v>Functional</x:v>
      </x:c>
      <x:c r="G36" s="23" t="str">
        <x:v>Tenant User</x:v>
      </x:c>
      <x:c r="H36" s="23" t="str">
        <x:v>Medium</x:v>
      </x:c>
      <x:c r="I36" s="23" t="str">
        <x:v>No</x:v>
      </x:c>
      <x:c r="J36" s="23" t="str"/>
      <x:c r="K36" s="23" t="str">
        <x:v>Required master data and user exist.</x:v>
      </x:c>
      <x:c r="L36" s="23" t="str">
        <x:v>Use dedicated non-production test data.</x:v>
      </x:c>
      <x:c r="M36" s="23" t="str">
        <x:v>1. Sign in as Tenant User. 2. Request reset for registered and unregistered emails. 3. Save or submit. 4. Refresh or reopen the record. 5. Compare the result with the pass condition.</x:v>
      </x:c>
      <x:c r="N36" s="23" t="str">
        <x:v>Response does not expose whether an account exists.</x:v>
      </x:c>
      <x:c r="O36" s="26" t="str">
        <x:v>Not Run</x:v>
      </x:c>
      <x:c r="P36" s="26" t="str"/>
      <x:c r="Q36" s="26" t="str"/>
      <x:c r="R36" s="26" t="str"/>
      <x:c r="S36" s="26" t="str"/>
      <x:c r="T36" s="26" t="str"/>
      <x:c r="U36" s="26" t="str">
        <x:v>QA</x:v>
      </x:c>
      <x:c r="V36" s="26" t="str"/>
      <x:c r="W36" s="29" t="str"/>
      <x:c r="X36" s="26" t="str"/>
      <x:c r="Y36" s="26" t="str">
        <x:v>Not Required</x:v>
      </x:c>
      <x:c r="Z36" s="26" t="str"/>
      <x:c r="AA36" s="28" t="n">
        <x:f>IF(OR(O36="Passed",O36="Failed",O36="Blocked"),1,0)</x:f>
        <x:v>0</x:v>
      </x:c>
      <x:c r="AB36" s="28" t="n">
        <x:f>IF(O36="Passed",1,0)</x:f>
        <x:v>0</x:v>
      </x:c>
      <x:c r="AC36" s="28" t="n">
        <x:f>IF(AND(OR(R36="Critical",R36="High"),OR(O36="Failed",O36="Blocked"),S36&lt;&gt;"Closed",S36&lt;&gt;"Rejected"),1,0)</x:f>
        <x:v>0</x:v>
      </x:c>
      <x:c r="AD36" s="28" t="n">
        <x:f>IF(X36&lt;&gt;"",1,0)</x:f>
        <x:v>0</x:v>
      </x:c>
      <x:c r="AE36" s="28" t="n">
        <x:f>IF(J36&lt;&gt;"",1,0)</x:f>
        <x:v>0</x:v>
      </x:c>
    </x:row>
    <x:row r="37">
      <x:c r="A37" s="23" t="str">
        <x:v>L2-006</x:v>
      </x:c>
      <x:c r="B37" s="23" t="str">
        <x:v>Level 2</x:v>
      </x:c>
      <x:c r="C37" s="23" t="str">
        <x:v>Authentication &amp; Session</x:v>
      </x:c>
      <x:c r="D37" s="23" t="str"/>
      <x:c r="E37" s="23" t="str">
        <x:v>Reset token reuse</x:v>
      </x:c>
      <x:c r="F37" s="23" t="str">
        <x:v>Security</x:v>
      </x:c>
      <x:c r="G37" s="23" t="str">
        <x:v>Tenant User</x:v>
      </x:c>
      <x:c r="H37" s="23" t="str">
        <x:v>High</x:v>
      </x:c>
      <x:c r="I37" s="23" t="str">
        <x:v>No</x:v>
      </x:c>
      <x:c r="J37" s="23" t="str"/>
      <x:c r="K37" s="23" t="str">
        <x:v>Required master data and user exist.</x:v>
      </x:c>
      <x:c r="L37" s="23" t="str">
        <x:v>Use dedicated non-production test data.</x:v>
      </x:c>
      <x:c r="M37" s="23" t="str">
        <x:v>1. Sign in as Tenant User. 2. Use a reset credential twice. 3. Save or submit. 4. Refresh or reopen the record. 5. Compare the result with the pass condition.</x:v>
      </x:c>
      <x:c r="N37" s="23" t="str">
        <x:v>The second use is denied.</x:v>
      </x:c>
      <x:c r="O37" s="26" t="str">
        <x:v>Not Run</x:v>
      </x:c>
      <x:c r="P37" s="26" t="str"/>
      <x:c r="Q37" s="26" t="str"/>
      <x:c r="R37" s="26" t="str"/>
      <x:c r="S37" s="26" t="str"/>
      <x:c r="T37" s="26" t="str"/>
      <x:c r="U37" s="26" t="str">
        <x:v>QA</x:v>
      </x:c>
      <x:c r="V37" s="26" t="str"/>
      <x:c r="W37" s="29" t="str"/>
      <x:c r="X37" s="26" t="str"/>
      <x:c r="Y37" s="26" t="str">
        <x:v>Not Required</x:v>
      </x:c>
      <x:c r="Z37" s="26" t="str"/>
      <x:c r="AA37" s="28" t="n">
        <x:f>IF(OR(O37="Passed",O37="Failed",O37="Blocked"),1,0)</x:f>
        <x:v>0</x:v>
      </x:c>
      <x:c r="AB37" s="28" t="n">
        <x:f>IF(O37="Passed",1,0)</x:f>
        <x:v>0</x:v>
      </x:c>
      <x:c r="AC37" s="28" t="n">
        <x:f>IF(AND(OR(R37="Critical",R37="High"),OR(O37="Failed",O37="Blocked"),S37&lt;&gt;"Closed",S37&lt;&gt;"Rejected"),1,0)</x:f>
        <x:v>0</x:v>
      </x:c>
      <x:c r="AD37" s="28" t="n">
        <x:f>IF(X37&lt;&gt;"",1,0)</x:f>
        <x:v>0</x:v>
      </x:c>
      <x:c r="AE37" s="28" t="n">
        <x:f>IF(J37&lt;&gt;"",1,0)</x:f>
        <x:v>0</x:v>
      </x:c>
    </x:row>
    <x:row r="38">
      <x:c r="A38" s="23" t="str">
        <x:v>L2-007</x:v>
      </x:c>
      <x:c r="B38" s="23" t="str">
        <x:v>Level 2</x:v>
      </x:c>
      <x:c r="C38" s="23" t="str">
        <x:v>Authentication &amp; Session</x:v>
      </x:c>
      <x:c r="D38" s="23" t="str"/>
      <x:c r="E38" s="23" t="str">
        <x:v>Password policy</x:v>
      </x:c>
      <x:c r="F38" s="23" t="str">
        <x:v>Functional</x:v>
      </x:c>
      <x:c r="G38" s="23" t="str">
        <x:v>Tenant User</x:v>
      </x:c>
      <x:c r="H38" s="23" t="str">
        <x:v>Medium</x:v>
      </x:c>
      <x:c r="I38" s="23" t="str">
        <x:v>No</x:v>
      </x:c>
      <x:c r="J38" s="23" t="str"/>
      <x:c r="K38" s="23" t="str">
        <x:v>Required master data and user exist.</x:v>
      </x:c>
      <x:c r="L38" s="23" t="str">
        <x:v>Use dedicated non-production test data.</x:v>
      </x:c>
      <x:c r="M38" s="23" t="str">
        <x:v>1. Sign in as Tenant User. 2. Try weak, mismatched and valid new passwords. 3. Save or submit. 4. Refresh or reopen the record. 5. Compare the result with the pass condition.</x:v>
      </x:c>
      <x:c r="N38" s="23" t="str">
        <x:v>Only the valid password is accepted.</x:v>
      </x:c>
      <x:c r="O38" s="26" t="str">
        <x:v>Not Run</x:v>
      </x:c>
      <x:c r="P38" s="26" t="str"/>
      <x:c r="Q38" s="26" t="str"/>
      <x:c r="R38" s="26" t="str"/>
      <x:c r="S38" s="26" t="str"/>
      <x:c r="T38" s="26" t="str"/>
      <x:c r="U38" s="26" t="str">
        <x:v>QA</x:v>
      </x:c>
      <x:c r="V38" s="26" t="str"/>
      <x:c r="W38" s="29" t="str"/>
      <x:c r="X38" s="26" t="str"/>
      <x:c r="Y38" s="26" t="str">
        <x:v>Not Required</x:v>
      </x:c>
      <x:c r="Z38" s="26" t="str"/>
      <x:c r="AA38" s="28" t="n">
        <x:f>IF(OR(O38="Passed",O38="Failed",O38="Blocked"),1,0)</x:f>
        <x:v>0</x:v>
      </x:c>
      <x:c r="AB38" s="28" t="n">
        <x:f>IF(O38="Passed",1,0)</x:f>
        <x:v>0</x:v>
      </x:c>
      <x:c r="AC38" s="28" t="n">
        <x:f>IF(AND(OR(R38="Critical",R38="High"),OR(O38="Failed",O38="Blocked"),S38&lt;&gt;"Closed",S38&lt;&gt;"Rejected"),1,0)</x:f>
        <x:v>0</x:v>
      </x:c>
      <x:c r="AD38" s="28" t="n">
        <x:f>IF(X38&lt;&gt;"",1,0)</x:f>
        <x:v>0</x:v>
      </x:c>
      <x:c r="AE38" s="28" t="n">
        <x:f>IF(J38&lt;&gt;"",1,0)</x:f>
        <x:v>0</x:v>
      </x:c>
    </x:row>
    <x:row r="39">
      <x:c r="A39" s="23" t="str">
        <x:v>L2-008</x:v>
      </x:c>
      <x:c r="B39" s="23" t="str">
        <x:v>Level 2</x:v>
      </x:c>
      <x:c r="C39" s="23" t="str">
        <x:v>Authentication &amp; Session</x:v>
      </x:c>
      <x:c r="D39" s="23" t="str"/>
      <x:c r="E39" s="23" t="str">
        <x:v>Logout</x:v>
      </x:c>
      <x:c r="F39" s="23" t="str">
        <x:v>Functional</x:v>
      </x:c>
      <x:c r="G39" s="23" t="str">
        <x:v>Tenant User</x:v>
      </x:c>
      <x:c r="H39" s="23" t="str">
        <x:v>Medium</x:v>
      </x:c>
      <x:c r="I39" s="23" t="str">
        <x:v>No</x:v>
      </x:c>
      <x:c r="J39" s="23" t="str"/>
      <x:c r="K39" s="23" t="str">
        <x:v>Required master data and user exist.</x:v>
      </x:c>
      <x:c r="L39" s="23" t="str">
        <x:v>Use dedicated non-production test data.</x:v>
      </x:c>
      <x:c r="M39" s="23" t="str">
        <x:v>1. Sign in as Tenant User. 2. Logout, then refresh and use browser Back. 3. Save or submit. 4. Refresh or reopen the record. 5. Compare the result with the pass condition.</x:v>
      </x:c>
      <x:c r="N39" s="23" t="str">
        <x:v>Protected data is not available after logout.</x:v>
      </x:c>
      <x:c r="O39" s="26" t="str">
        <x:v>Not Run</x:v>
      </x:c>
      <x:c r="P39" s="26" t="str"/>
      <x:c r="Q39" s="26" t="str"/>
      <x:c r="R39" s="26" t="str"/>
      <x:c r="S39" s="26" t="str"/>
      <x:c r="T39" s="26" t="str"/>
      <x:c r="U39" s="26" t="str">
        <x:v>QA</x:v>
      </x:c>
      <x:c r="V39" s="26" t="str"/>
      <x:c r="W39" s="29" t="str"/>
      <x:c r="X39" s="26" t="str"/>
      <x:c r="Y39" s="26" t="str">
        <x:v>Not Required</x:v>
      </x:c>
      <x:c r="Z39" s="26" t="str"/>
      <x:c r="AA39" s="28" t="n">
        <x:f>IF(OR(O39="Passed",O39="Failed",O39="Blocked"),1,0)</x:f>
        <x:v>0</x:v>
      </x:c>
      <x:c r="AB39" s="28" t="n">
        <x:f>IF(O39="Passed",1,0)</x:f>
        <x:v>0</x:v>
      </x:c>
      <x:c r="AC39" s="28" t="n">
        <x:f>IF(AND(OR(R39="Critical",R39="High"),OR(O39="Failed",O39="Blocked"),S39&lt;&gt;"Closed",S39&lt;&gt;"Rejected"),1,0)</x:f>
        <x:v>0</x:v>
      </x:c>
      <x:c r="AD39" s="28" t="n">
        <x:f>IF(X39&lt;&gt;"",1,0)</x:f>
        <x:v>0</x:v>
      </x:c>
      <x:c r="AE39" s="28" t="n">
        <x:f>IF(J39&lt;&gt;"",1,0)</x:f>
        <x:v>0</x:v>
      </x:c>
    </x:row>
    <x:row r="40">
      <x:c r="A40" s="23" t="str">
        <x:v>L2-009</x:v>
      </x:c>
      <x:c r="B40" s="23" t="str">
        <x:v>Level 2</x:v>
      </x:c>
      <x:c r="C40" s="23" t="str">
        <x:v>Authentication &amp; Session</x:v>
      </x:c>
      <x:c r="D40" s="23" t="str"/>
      <x:c r="E40" s="23" t="str">
        <x:v>Session expiry</x:v>
      </x:c>
      <x:c r="F40" s="23" t="str">
        <x:v>Functional</x:v>
      </x:c>
      <x:c r="G40" s="23" t="str">
        <x:v>Tenant User</x:v>
      </x:c>
      <x:c r="H40" s="23" t="str">
        <x:v>Medium</x:v>
      </x:c>
      <x:c r="I40" s="23" t="str">
        <x:v>No</x:v>
      </x:c>
      <x:c r="J40" s="23" t="str"/>
      <x:c r="K40" s="23" t="str">
        <x:v>Required master data and user exist.</x:v>
      </x:c>
      <x:c r="L40" s="23" t="str">
        <x:v>Use dedicated non-production test data.</x:v>
      </x:c>
      <x:c r="M40" s="23" t="str">
        <x:v>1. Sign in as Tenant User. 2. Use an expired session on UI and API. 3. Save or submit. 4. Refresh or reopen the record. 5. Compare the result with the pass condition.</x:v>
      </x:c>
      <x:c r="N40" s="23" t="str">
        <x:v>The user is asked to sign in again.</x:v>
      </x:c>
      <x:c r="O40" s="26" t="str">
        <x:v>Not Run</x:v>
      </x:c>
      <x:c r="P40" s="26" t="str"/>
      <x:c r="Q40" s="26" t="str"/>
      <x:c r="R40" s="26" t="str"/>
      <x:c r="S40" s="26" t="str"/>
      <x:c r="T40" s="26" t="str"/>
      <x:c r="U40" s="26" t="str">
        <x:v>QA</x:v>
      </x:c>
      <x:c r="V40" s="26" t="str"/>
      <x:c r="W40" s="29" t="str"/>
      <x:c r="X40" s="26" t="str"/>
      <x:c r="Y40" s="26" t="str">
        <x:v>Not Required</x:v>
      </x:c>
      <x:c r="Z40" s="26" t="str"/>
      <x:c r="AA40" s="28" t="n">
        <x:f>IF(OR(O40="Passed",O40="Failed",O40="Blocked"),1,0)</x:f>
        <x:v>0</x:v>
      </x:c>
      <x:c r="AB40" s="28" t="n">
        <x:f>IF(O40="Passed",1,0)</x:f>
        <x:v>0</x:v>
      </x:c>
      <x:c r="AC40" s="28" t="n">
        <x:f>IF(AND(OR(R40="Critical",R40="High"),OR(O40="Failed",O40="Blocked"),S40&lt;&gt;"Closed",S40&lt;&gt;"Rejected"),1,0)</x:f>
        <x:v>0</x:v>
      </x:c>
      <x:c r="AD40" s="28" t="n">
        <x:f>IF(X40&lt;&gt;"",1,0)</x:f>
        <x:v>0</x:v>
      </x:c>
      <x:c r="AE40" s="28" t="n">
        <x:f>IF(J40&lt;&gt;"",1,0)</x:f>
        <x:v>0</x:v>
      </x:c>
    </x:row>
    <x:row r="41">
      <x:c r="A41" s="23" t="str">
        <x:v>L2-010</x:v>
      </x:c>
      <x:c r="B41" s="23" t="str">
        <x:v>Level 2</x:v>
      </x:c>
      <x:c r="C41" s="23" t="str">
        <x:v>Authentication &amp; Session</x:v>
      </x:c>
      <x:c r="D41" s="23" t="str"/>
      <x:c r="E41" s="23" t="str">
        <x:v>Wrong tenant login</x:v>
      </x:c>
      <x:c r="F41" s="23" t="str">
        <x:v>Security</x:v>
      </x:c>
      <x:c r="G41" s="23" t="str">
        <x:v>Tenant User</x:v>
      </x:c>
      <x:c r="H41" s="23" t="str">
        <x:v>Critical</x:v>
      </x:c>
      <x:c r="I41" s="23" t="str">
        <x:v>Yes</x:v>
      </x:c>
      <x:c r="J41" s="23" t="str"/>
      <x:c r="K41" s="23" t="str">
        <x:v>Required master data and user exist.</x:v>
      </x:c>
      <x:c r="L41" s="23" t="str">
        <x:v>Use dedicated non-production test data.</x:v>
      </x:c>
      <x:c r="M41" s="23" t="str">
        <x:v>1. Sign in as Tenant User. 2. Use valid credentials on another lab tenant. 3. Save or submit. 4. Refresh or reopen the record. 5. Compare the result with the pass condition.</x:v>
      </x:c>
      <x:c r="N41" s="23" t="str">
        <x:v>Access is denied without data leakage.</x:v>
      </x:c>
      <x:c r="O41" s="26" t="str">
        <x:v>Not Run</x:v>
      </x:c>
      <x:c r="P41" s="26" t="str"/>
      <x:c r="Q41" s="26" t="str"/>
      <x:c r="R41" s="26" t="str"/>
      <x:c r="S41" s="26" t="str"/>
      <x:c r="T41" s="26" t="str"/>
      <x:c r="U41" s="26" t="str">
        <x:v>QA</x:v>
      </x:c>
      <x:c r="V41" s="26" t="str"/>
      <x:c r="W41" s="29" t="str"/>
      <x:c r="X41" s="26" t="str"/>
      <x:c r="Y41" s="26" t="str">
        <x:v>Not Required</x:v>
      </x:c>
      <x:c r="Z41" s="26" t="str"/>
      <x:c r="AA41" s="28" t="n">
        <x:f>IF(OR(O41="Passed",O41="Failed",O41="Blocked"),1,0)</x:f>
        <x:v>0</x:v>
      </x:c>
      <x:c r="AB41" s="28" t="n">
        <x:f>IF(O41="Passed",1,0)</x:f>
        <x:v>0</x:v>
      </x:c>
      <x:c r="AC41" s="28" t="n">
        <x:f>IF(AND(OR(R41="Critical",R41="High"),OR(O41="Failed",O41="Blocked"),S41&lt;&gt;"Closed",S41&lt;&gt;"Rejected"),1,0)</x:f>
        <x:v>0</x:v>
      </x:c>
      <x:c r="AD41" s="28" t="n">
        <x:f>IF(X41&lt;&gt;"",1,0)</x:f>
        <x:v>0</x:v>
      </x:c>
      <x:c r="AE41" s="28" t="n">
        <x:f>IF(J41&lt;&gt;"",1,0)</x:f>
        <x:v>0</x:v>
      </x:c>
    </x:row>
    <x:row r="42">
      <x:c r="A42" s="23" t="str">
        <x:v>L2-011</x:v>
      </x:c>
      <x:c r="B42" s="23" t="str">
        <x:v>Level 2</x:v>
      </x:c>
      <x:c r="C42" s="23" t="str">
        <x:v>RBAC &amp; Settings</x:v>
      </x:c>
      <x:c r="D42" s="23" t="str"/>
      <x:c r="E42" s="23" t="str">
        <x:v>Create custom role</x:v>
      </x:c>
      <x:c r="F42" s="23" t="str">
        <x:v>Functional</x:v>
      </x:c>
      <x:c r="G42" s="23" t="str">
        <x:v>Admin</x:v>
      </x:c>
      <x:c r="H42" s="23" t="str">
        <x:v>Medium</x:v>
      </x:c>
      <x:c r="I42" s="23" t="str">
        <x:v>No</x:v>
      </x:c>
      <x:c r="J42" s="23" t="str"/>
      <x:c r="K42" s="23" t="str">
        <x:v>Required master data and user exist.</x:v>
      </x:c>
      <x:c r="L42" s="23" t="str">
        <x:v>Use dedicated non-production test data.</x:v>
      </x:c>
      <x:c r="M42" s="23" t="str">
        <x:v>1. Sign in as Admin. 2. Create a limited role with selected permissions. 3. Save or submit. 4. Refresh or reopen the record. 5. Compare the result with the pass condition.</x:v>
      </x:c>
      <x:c r="N42" s="23" t="str">
        <x:v>Only selected permissions are effective.</x:v>
      </x:c>
      <x:c r="O42" s="26" t="str">
        <x:v>Not Run</x:v>
      </x:c>
      <x:c r="P42" s="26" t="str"/>
      <x:c r="Q42" s="26" t="str"/>
      <x:c r="R42" s="26" t="str"/>
      <x:c r="S42" s="26" t="str"/>
      <x:c r="T42" s="26" t="str"/>
      <x:c r="U42" s="26" t="str">
        <x:v>QA</x:v>
      </x:c>
      <x:c r="V42" s="26" t="str"/>
      <x:c r="W42" s="29" t="str"/>
      <x:c r="X42" s="26" t="str"/>
      <x:c r="Y42" s="26" t="str">
        <x:v>Not Required</x:v>
      </x:c>
      <x:c r="Z42" s="26" t="str"/>
      <x:c r="AA42" s="28" t="n">
        <x:f>IF(OR(O42="Passed",O42="Failed",O42="Blocked"),1,0)</x:f>
        <x:v>0</x:v>
      </x:c>
      <x:c r="AB42" s="28" t="n">
        <x:f>IF(O42="Passed",1,0)</x:f>
        <x:v>0</x:v>
      </x:c>
      <x:c r="AC42" s="28" t="n">
        <x:f>IF(AND(OR(R42="Critical",R42="High"),OR(O42="Failed",O42="Blocked"),S42&lt;&gt;"Closed",S42&lt;&gt;"Rejected"),1,0)</x:f>
        <x:v>0</x:v>
      </x:c>
      <x:c r="AD42" s="28" t="n">
        <x:f>IF(X42&lt;&gt;"",1,0)</x:f>
        <x:v>0</x:v>
      </x:c>
      <x:c r="AE42" s="28" t="n">
        <x:f>IF(J42&lt;&gt;"",1,0)</x:f>
        <x:v>0</x:v>
      </x:c>
    </x:row>
    <x:row r="43">
      <x:c r="A43" s="23" t="str">
        <x:v>L2-012</x:v>
      </x:c>
      <x:c r="B43" s="23" t="str">
        <x:v>Level 2</x:v>
      </x:c>
      <x:c r="C43" s="23" t="str">
        <x:v>RBAC &amp; Settings</x:v>
      </x:c>
      <x:c r="D43" s="23" t="str"/>
      <x:c r="E43" s="23" t="str">
        <x:v>Permission dependency</x:v>
      </x:c>
      <x:c r="F43" s="23" t="str">
        <x:v>Functional</x:v>
      </x:c>
      <x:c r="G43" s="23" t="str">
        <x:v>Admin</x:v>
      </x:c>
      <x:c r="H43" s="23" t="str">
        <x:v>Medium</x:v>
      </x:c>
      <x:c r="I43" s="23" t="str">
        <x:v>No</x:v>
      </x:c>
      <x:c r="J43" s="23" t="str"/>
      <x:c r="K43" s="23" t="str">
        <x:v>Required master data and user exist.</x:v>
      </x:c>
      <x:c r="L43" s="23" t="str">
        <x:v>Use dedicated non-production test data.</x:v>
      </x:c>
      <x:c r="M43" s="23" t="str">
        <x:v>1. Sign in as Admin. 2. Select a permission that requires another permission. 3. Save or submit. 4. Refresh or reopen the record. 5. Compare the result with the pass condition.</x:v>
      </x:c>
      <x:c r="N43" s="23" t="str">
        <x:v>The dependency is enforced or clearly added.</x:v>
      </x:c>
      <x:c r="O43" s="26" t="str">
        <x:v>Not Run</x:v>
      </x:c>
      <x:c r="P43" s="26" t="str"/>
      <x:c r="Q43" s="26" t="str"/>
      <x:c r="R43" s="26" t="str"/>
      <x:c r="S43" s="26" t="str"/>
      <x:c r="T43" s="26" t="str"/>
      <x:c r="U43" s="26" t="str">
        <x:v>QA</x:v>
      </x:c>
      <x:c r="V43" s="26" t="str"/>
      <x:c r="W43" s="29" t="str"/>
      <x:c r="X43" s="26" t="str"/>
      <x:c r="Y43" s="26" t="str">
        <x:v>Not Required</x:v>
      </x:c>
      <x:c r="Z43" s="26" t="str"/>
      <x:c r="AA43" s="28" t="n">
        <x:f>IF(OR(O43="Passed",O43="Failed",O43="Blocked"),1,0)</x:f>
        <x:v>0</x:v>
      </x:c>
      <x:c r="AB43" s="28" t="n">
        <x:f>IF(O43="Passed",1,0)</x:f>
        <x:v>0</x:v>
      </x:c>
      <x:c r="AC43" s="28" t="n">
        <x:f>IF(AND(OR(R43="Critical",R43="High"),OR(O43="Failed",O43="Blocked"),S43&lt;&gt;"Closed",S43&lt;&gt;"Rejected"),1,0)</x:f>
        <x:v>0</x:v>
      </x:c>
      <x:c r="AD43" s="28" t="n">
        <x:f>IF(X43&lt;&gt;"",1,0)</x:f>
        <x:v>0</x:v>
      </x:c>
      <x:c r="AE43" s="28" t="n">
        <x:f>IF(J43&lt;&gt;"",1,0)</x:f>
        <x:v>0</x:v>
      </x:c>
    </x:row>
    <x:row r="44">
      <x:c r="A44" s="23" t="str">
        <x:v>L2-013</x:v>
      </x:c>
      <x:c r="B44" s="23" t="str">
        <x:v>Level 2</x:v>
      </x:c>
      <x:c r="C44" s="23" t="str">
        <x:v>RBAC &amp; Settings</x:v>
      </x:c>
      <x:c r="D44" s="23" t="str"/>
      <x:c r="E44" s="23" t="str">
        <x:v>Dangerous permission grant</x:v>
      </x:c>
      <x:c r="F44" s="23" t="str">
        <x:v>Functional</x:v>
      </x:c>
      <x:c r="G44" s="23" t="str">
        <x:v>Admin</x:v>
      </x:c>
      <x:c r="H44" s="23" t="str">
        <x:v>Critical</x:v>
      </x:c>
      <x:c r="I44" s="23" t="str">
        <x:v>Yes</x:v>
      </x:c>
      <x:c r="J44" s="23" t="str">
        <x:v>Dangerous-permission approval flow</x:v>
      </x:c>
      <x:c r="K44" s="23" t="str">
        <x:v>Required master data and user exist.</x:v>
      </x:c>
      <x:c r="L44" s="23" t="str">
        <x:v>Use dedicated non-production test data.</x:v>
      </x:c>
      <x:c r="M44" s="23" t="str">
        <x:v>1. Sign in as Admin. 2. Grant refund, release or user-management permission. 3. Save or submit. 4. Refresh or reopen the record. 5. Compare the result with the pass condition.</x:v>
      </x:c>
      <x:c r="N44" s="23" t="str">
        <x:v>The grant follows the approved control and is auditable.</x:v>
      </x:c>
      <x:c r="O44" s="26" t="str">
        <x:v>Not Run</x:v>
      </x:c>
      <x:c r="P44" s="26" t="str"/>
      <x:c r="Q44" s="26" t="str"/>
      <x:c r="R44" s="26" t="str"/>
      <x:c r="S44" s="26" t="str"/>
      <x:c r="T44" s="26" t="str"/>
      <x:c r="U44" s="26" t="str">
        <x:v>QA</x:v>
      </x:c>
      <x:c r="V44" s="26" t="str"/>
      <x:c r="W44" s="29" t="str"/>
      <x:c r="X44" s="26" t="str"/>
      <x:c r="Y44" s="26" t="str">
        <x:v>Not Required</x:v>
      </x:c>
      <x:c r="Z44" s="26" t="str"/>
      <x:c r="AA44" s="28" t="n">
        <x:f>IF(OR(O44="Passed",O44="Failed",O44="Blocked"),1,0)</x:f>
        <x:v>0</x:v>
      </x:c>
      <x:c r="AB44" s="28" t="n">
        <x:f>IF(O44="Passed",1,0)</x:f>
        <x:v>0</x:v>
      </x:c>
      <x:c r="AC44" s="28" t="n">
        <x:f>IF(AND(OR(R44="Critical",R44="High"),OR(O44="Failed",O44="Blocked"),S44&lt;&gt;"Closed",S44&lt;&gt;"Rejected"),1,0)</x:f>
        <x:v>0</x:v>
      </x:c>
      <x:c r="AD44" s="28" t="n">
        <x:f>IF(X44&lt;&gt;"",1,0)</x:f>
        <x:v>0</x:v>
      </x:c>
      <x:c r="AE44" s="28" t="n">
        <x:f>IF(J44&lt;&gt;"",1,0)</x:f>
        <x:v>1</x:v>
      </x:c>
    </x:row>
    <x:row r="45">
      <x:c r="A45" s="23" t="str">
        <x:v>L2-014</x:v>
      </x:c>
      <x:c r="B45" s="23" t="str">
        <x:v>Level 2</x:v>
      </x:c>
      <x:c r="C45" s="23" t="str">
        <x:v>RBAC &amp; Settings</x:v>
      </x:c>
      <x:c r="D45" s="23" t="str"/>
      <x:c r="E45" s="23" t="str">
        <x:v>Assigned role deletion</x:v>
      </x:c>
      <x:c r="F45" s="23" t="str">
        <x:v>Functional</x:v>
      </x:c>
      <x:c r="G45" s="23" t="str">
        <x:v>Admin</x:v>
      </x:c>
      <x:c r="H45" s="23" t="str">
        <x:v>Medium</x:v>
      </x:c>
      <x:c r="I45" s="23" t="str">
        <x:v>No</x:v>
      </x:c>
      <x:c r="J45" s="23" t="str"/>
      <x:c r="K45" s="23" t="str">
        <x:v>Required master data and user exist.</x:v>
      </x:c>
      <x:c r="L45" s="23" t="str">
        <x:v>Use dedicated non-production test data.</x:v>
      </x:c>
      <x:c r="M45" s="23" t="str">
        <x:v>1. Sign in as Admin. 2. Try to delete a role assigned to a user. 3. Save or submit. 4. Refresh or reopen the record. 5. Compare the result with the pass condition.</x:v>
      </x:c>
      <x:c r="N45" s="23" t="str">
        <x:v>Deletion is blocked.</x:v>
      </x:c>
      <x:c r="O45" s="26" t="str">
        <x:v>Not Run</x:v>
      </x:c>
      <x:c r="P45" s="26" t="str"/>
      <x:c r="Q45" s="26" t="str"/>
      <x:c r="R45" s="26" t="str"/>
      <x:c r="S45" s="26" t="str"/>
      <x:c r="T45" s="26" t="str"/>
      <x:c r="U45" s="26" t="str">
        <x:v>QA</x:v>
      </x:c>
      <x:c r="V45" s="26" t="str"/>
      <x:c r="W45" s="29" t="str"/>
      <x:c r="X45" s="26" t="str"/>
      <x:c r="Y45" s="26" t="str">
        <x:v>Not Required</x:v>
      </x:c>
      <x:c r="Z45" s="26" t="str"/>
      <x:c r="AA45" s="28" t="n">
        <x:f>IF(OR(O45="Passed",O45="Failed",O45="Blocked"),1,0)</x:f>
        <x:v>0</x:v>
      </x:c>
      <x:c r="AB45" s="28" t="n">
        <x:f>IF(O45="Passed",1,0)</x:f>
        <x:v>0</x:v>
      </x:c>
      <x:c r="AC45" s="28" t="n">
        <x:f>IF(AND(OR(R45="Critical",R45="High"),OR(O45="Failed",O45="Blocked"),S45&lt;&gt;"Closed",S45&lt;&gt;"Rejected"),1,0)</x:f>
        <x:v>0</x:v>
      </x:c>
      <x:c r="AD45" s="28" t="n">
        <x:f>IF(X45&lt;&gt;"",1,0)</x:f>
        <x:v>0</x:v>
      </x:c>
      <x:c r="AE45" s="28" t="n">
        <x:f>IF(J45&lt;&gt;"",1,0)</x:f>
        <x:v>0</x:v>
      </x:c>
    </x:row>
    <x:row r="46">
      <x:c r="A46" s="23" t="str">
        <x:v>L2-015</x:v>
      </x:c>
      <x:c r="B46" s="23" t="str">
        <x:v>Level 2</x:v>
      </x:c>
      <x:c r="C46" s="23" t="str">
        <x:v>RBAC &amp; Settings</x:v>
      </x:c>
      <x:c r="D46" s="23" t="str"/>
      <x:c r="E46" s="23" t="str">
        <x:v>Role change during session</x:v>
      </x:c>
      <x:c r="F46" s="23" t="str">
        <x:v>Functional</x:v>
      </x:c>
      <x:c r="G46" s="23" t="str">
        <x:v>Admin</x:v>
      </x:c>
      <x:c r="H46" s="23" t="str">
        <x:v>Medium</x:v>
      </x:c>
      <x:c r="I46" s="23" t="str">
        <x:v>No</x:v>
      </x:c>
      <x:c r="J46" s="23" t="str"/>
      <x:c r="K46" s="23" t="str">
        <x:v>Required master data and user exist.</x:v>
      </x:c>
      <x:c r="L46" s="23" t="str">
        <x:v>Use dedicated non-production test data.</x:v>
      </x:c>
      <x:c r="M46" s="23" t="str">
        <x:v>1. Sign in as Admin. 2. Change a signed-in user's role. 3. Save or submit. 4. Refresh or reopen the record. 5. Compare the result with the pass condition.</x:v>
      </x:c>
      <x:c r="N46" s="23" t="str">
        <x:v>New permissions apply after the documented refresh/re-login rule.</x:v>
      </x:c>
      <x:c r="O46" s="26" t="str">
        <x:v>Not Run</x:v>
      </x:c>
      <x:c r="P46" s="26" t="str"/>
      <x:c r="Q46" s="26" t="str"/>
      <x:c r="R46" s="26" t="str"/>
      <x:c r="S46" s="26" t="str"/>
      <x:c r="T46" s="26" t="str"/>
      <x:c r="U46" s="26" t="str">
        <x:v>QA</x:v>
      </x:c>
      <x:c r="V46" s="26" t="str"/>
      <x:c r="W46" s="29" t="str"/>
      <x:c r="X46" s="26" t="str"/>
      <x:c r="Y46" s="26" t="str">
        <x:v>Not Required</x:v>
      </x:c>
      <x:c r="Z46" s="26" t="str"/>
      <x:c r="AA46" s="28" t="n">
        <x:f>IF(OR(O46="Passed",O46="Failed",O46="Blocked"),1,0)</x:f>
        <x:v>0</x:v>
      </x:c>
      <x:c r="AB46" s="28" t="n">
        <x:f>IF(O46="Passed",1,0)</x:f>
        <x:v>0</x:v>
      </x:c>
      <x:c r="AC46" s="28" t="n">
        <x:f>IF(AND(OR(R46="Critical",R46="High"),OR(O46="Failed",O46="Blocked"),S46&lt;&gt;"Closed",S46&lt;&gt;"Rejected"),1,0)</x:f>
        <x:v>0</x:v>
      </x:c>
      <x:c r="AD46" s="28" t="n">
        <x:f>IF(X46&lt;&gt;"",1,0)</x:f>
        <x:v>0</x:v>
      </x:c>
      <x:c r="AE46" s="28" t="n">
        <x:f>IF(J46&lt;&gt;"",1,0)</x:f>
        <x:v>0</x:v>
      </x:c>
    </x:row>
    <x:row r="47">
      <x:c r="A47" s="23" t="str">
        <x:v>L2-016</x:v>
      </x:c>
      <x:c r="B47" s="23" t="str">
        <x:v>Level 2</x:v>
      </x:c>
      <x:c r="C47" s="23" t="str">
        <x:v>RBAC &amp; Settings</x:v>
      </x:c>
      <x:c r="D47" s="23" t="str"/>
      <x:c r="E47" s="23" t="str">
        <x:v>Disabled module UI</x:v>
      </x:c>
      <x:c r="F47" s="23" t="str">
        <x:v>Functional</x:v>
      </x:c>
      <x:c r="G47" s="23" t="str">
        <x:v>Admin</x:v>
      </x:c>
      <x:c r="H47" s="23" t="str">
        <x:v>Medium</x:v>
      </x:c>
      <x:c r="I47" s="23" t="str">
        <x:v>No</x:v>
      </x:c>
      <x:c r="J47" s="23" t="str"/>
      <x:c r="K47" s="23" t="str">
        <x:v>Required master data and user exist.</x:v>
      </x:c>
      <x:c r="L47" s="23" t="str">
        <x:v>Use dedicated non-production test data.</x:v>
      </x:c>
      <x:c r="M47" s="23" t="str">
        <x:v>1. Sign in as Admin. 2. Disable a module for the tenant. 3. Save or submit. 4. Refresh or reopen the record. 5. Compare the result with the pass condition.</x:v>
      </x:c>
      <x:c r="N47" s="23" t="str">
        <x:v>Its navigation and actions disappear.</x:v>
      </x:c>
      <x:c r="O47" s="26" t="str">
        <x:v>Not Run</x:v>
      </x:c>
      <x:c r="P47" s="26" t="str"/>
      <x:c r="Q47" s="26" t="str"/>
      <x:c r="R47" s="26" t="str"/>
      <x:c r="S47" s="26" t="str"/>
      <x:c r="T47" s="26" t="str"/>
      <x:c r="U47" s="26" t="str">
        <x:v>QA</x:v>
      </x:c>
      <x:c r="V47" s="26" t="str"/>
      <x:c r="W47" s="29" t="str"/>
      <x:c r="X47" s="26" t="str"/>
      <x:c r="Y47" s="26" t="str">
        <x:v>Not Required</x:v>
      </x:c>
      <x:c r="Z47" s="26" t="str"/>
      <x:c r="AA47" s="28" t="n">
        <x:f>IF(OR(O47="Passed",O47="Failed",O47="Blocked"),1,0)</x:f>
        <x:v>0</x:v>
      </x:c>
      <x:c r="AB47" s="28" t="n">
        <x:f>IF(O47="Passed",1,0)</x:f>
        <x:v>0</x:v>
      </x:c>
      <x:c r="AC47" s="28" t="n">
        <x:f>IF(AND(OR(R47="Critical",R47="High"),OR(O47="Failed",O47="Blocked"),S47&lt;&gt;"Closed",S47&lt;&gt;"Rejected"),1,0)</x:f>
        <x:v>0</x:v>
      </x:c>
      <x:c r="AD47" s="28" t="n">
        <x:f>IF(X47&lt;&gt;"",1,0)</x:f>
        <x:v>0</x:v>
      </x:c>
      <x:c r="AE47" s="28" t="n">
        <x:f>IF(J47&lt;&gt;"",1,0)</x:f>
        <x:v>0</x:v>
      </x:c>
    </x:row>
    <x:row r="48">
      <x:c r="A48" s="23" t="str">
        <x:v>L2-017</x:v>
      </x:c>
      <x:c r="B48" s="23" t="str">
        <x:v>Level 2</x:v>
      </x:c>
      <x:c r="C48" s="23" t="str">
        <x:v>RBAC &amp; Settings</x:v>
      </x:c>
      <x:c r="D48" s="23" t="str"/>
      <x:c r="E48" s="23" t="str">
        <x:v>Disabled module API</x:v>
      </x:c>
      <x:c r="F48" s="23" t="str">
        <x:v>Functional</x:v>
      </x:c>
      <x:c r="G48" s="23" t="str">
        <x:v>Admin</x:v>
      </x:c>
      <x:c r="H48" s="23" t="str">
        <x:v>Medium</x:v>
      </x:c>
      <x:c r="I48" s="23" t="str">
        <x:v>No</x:v>
      </x:c>
      <x:c r="J48" s="23" t="str"/>
      <x:c r="K48" s="23" t="str">
        <x:v>Required master data and user exist.</x:v>
      </x:c>
      <x:c r="L48" s="23" t="str">
        <x:v>Use dedicated non-production test data.</x:v>
      </x:c>
      <x:c r="M48" s="23" t="str">
        <x:v>1. Sign in as Admin. 2. Call the disabled module API directly. 3. Save or submit. 4. Refresh or reopen the record. 5. Compare the result with the pass condition.</x:v>
      </x:c>
      <x:c r="N48" s="23" t="str">
        <x:v>The server denies the action.</x:v>
      </x:c>
      <x:c r="O48" s="26" t="str">
        <x:v>Not Run</x:v>
      </x:c>
      <x:c r="P48" s="26" t="str"/>
      <x:c r="Q48" s="26" t="str"/>
      <x:c r="R48" s="26" t="str"/>
      <x:c r="S48" s="26" t="str"/>
      <x:c r="T48" s="26" t="str"/>
      <x:c r="U48" s="26" t="str">
        <x:v>QA</x:v>
      </x:c>
      <x:c r="V48" s="26" t="str"/>
      <x:c r="W48" s="29" t="str"/>
      <x:c r="X48" s="26" t="str"/>
      <x:c r="Y48" s="26" t="str">
        <x:v>Not Required</x:v>
      </x:c>
      <x:c r="Z48" s="26" t="str"/>
      <x:c r="AA48" s="28" t="n">
        <x:f>IF(OR(O48="Passed",O48="Failed",O48="Blocked"),1,0)</x:f>
        <x:v>0</x:v>
      </x:c>
      <x:c r="AB48" s="28" t="n">
        <x:f>IF(O48="Passed",1,0)</x:f>
        <x:v>0</x:v>
      </x:c>
      <x:c r="AC48" s="28" t="n">
        <x:f>IF(AND(OR(R48="Critical",R48="High"),OR(O48="Failed",O48="Blocked"),S48&lt;&gt;"Closed",S48&lt;&gt;"Rejected"),1,0)</x:f>
        <x:v>0</x:v>
      </x:c>
      <x:c r="AD48" s="28" t="n">
        <x:f>IF(X48&lt;&gt;"",1,0)</x:f>
        <x:v>0</x:v>
      </x:c>
      <x:c r="AE48" s="28" t="n">
        <x:f>IF(J48&lt;&gt;"",1,0)</x:f>
        <x:v>0</x:v>
      </x:c>
    </x:row>
    <x:row r="49">
      <x:c r="A49" s="23" t="str">
        <x:v>L2-018</x:v>
      </x:c>
      <x:c r="B49" s="23" t="str">
        <x:v>Level 2</x:v>
      </x:c>
      <x:c r="C49" s="23" t="str">
        <x:v>RBAC &amp; Settings</x:v>
      </x:c>
      <x:c r="D49" s="23" t="str"/>
      <x:c r="E49" s="23" t="str">
        <x:v>Technician collection denial</x:v>
      </x:c>
      <x:c r="F49" s="23" t="str">
        <x:v>Functional</x:v>
      </x:c>
      <x:c r="G49" s="23" t="str">
        <x:v>Admin</x:v>
      </x:c>
      <x:c r="H49" s="23" t="str">
        <x:v>Medium</x:v>
      </x:c>
      <x:c r="I49" s="23" t="str">
        <x:v>No</x:v>
      </x:c>
      <x:c r="J49" s="23" t="str"/>
      <x:c r="K49" s="23" t="str">
        <x:v>Required master data and user exist.</x:v>
      </x:c>
      <x:c r="L49" s="23" t="str">
        <x:v>Use dedicated non-production test data.</x:v>
      </x:c>
      <x:c r="M49" s="23" t="str">
        <x:v>1. Sign in as Admin. 2. Use Lab Technician to collect a sample. 3. Save or submit. 4. Refresh or reopen the record. 5. Compare the result with the pass condition.</x:v>
      </x:c>
      <x:c r="N49" s="23" t="str">
        <x:v>The default role is denied.</x:v>
      </x:c>
      <x:c r="O49" s="26" t="str">
        <x:v>Not Run</x:v>
      </x:c>
      <x:c r="P49" s="26" t="str"/>
      <x:c r="Q49" s="26" t="str"/>
      <x:c r="R49" s="26" t="str"/>
      <x:c r="S49" s="26" t="str"/>
      <x:c r="T49" s="26" t="str"/>
      <x:c r="U49" s="26" t="str">
        <x:v>QA</x:v>
      </x:c>
      <x:c r="V49" s="26" t="str"/>
      <x:c r="W49" s="29" t="str"/>
      <x:c r="X49" s="26" t="str"/>
      <x:c r="Y49" s="26" t="str">
        <x:v>Not Required</x:v>
      </x:c>
      <x:c r="Z49" s="26" t="str"/>
      <x:c r="AA49" s="28" t="n">
        <x:f>IF(OR(O49="Passed",O49="Failed",O49="Blocked"),1,0)</x:f>
        <x:v>0</x:v>
      </x:c>
      <x:c r="AB49" s="28" t="n">
        <x:f>IF(O49="Passed",1,0)</x:f>
        <x:v>0</x:v>
      </x:c>
      <x:c r="AC49" s="28" t="n">
        <x:f>IF(AND(OR(R49="Critical",R49="High"),OR(O49="Failed",O49="Blocked"),S49&lt;&gt;"Closed",S49&lt;&gt;"Rejected"),1,0)</x:f>
        <x:v>0</x:v>
      </x:c>
      <x:c r="AD49" s="28" t="n">
        <x:f>IF(X49&lt;&gt;"",1,0)</x:f>
        <x:v>0</x:v>
      </x:c>
      <x:c r="AE49" s="28" t="n">
        <x:f>IF(J49&lt;&gt;"",1,0)</x:f>
        <x:v>0</x:v>
      </x:c>
    </x:row>
    <x:row r="50">
      <x:c r="A50" s="23" t="str">
        <x:v>L2-019</x:v>
      </x:c>
      <x:c r="B50" s="23" t="str">
        <x:v>Level 2</x:v>
      </x:c>
      <x:c r="C50" s="23" t="str">
        <x:v>RBAC &amp; Settings</x:v>
      </x:c>
      <x:c r="D50" s="23" t="str"/>
      <x:c r="E50" s="23" t="str">
        <x:v>Technician release denial</x:v>
      </x:c>
      <x:c r="F50" s="23" t="str">
        <x:v>Functional</x:v>
      </x:c>
      <x:c r="G50" s="23" t="str">
        <x:v>Admin</x:v>
      </x:c>
      <x:c r="H50" s="23" t="str">
        <x:v>Medium</x:v>
      </x:c>
      <x:c r="I50" s="23" t="str">
        <x:v>No</x:v>
      </x:c>
      <x:c r="J50" s="23" t="str"/>
      <x:c r="K50" s="23" t="str">
        <x:v>Required master data and user exist.</x:v>
      </x:c>
      <x:c r="L50" s="23" t="str">
        <x:v>Use dedicated non-production test data.</x:v>
      </x:c>
      <x:c r="M50" s="23" t="str">
        <x:v>1. Sign in as Admin. 2. Use Lab Technician to release a report. 3. Save or submit. 4. Refresh or reopen the record. 5. Compare the result with the pass condition.</x:v>
      </x:c>
      <x:c r="N50" s="23" t="str">
        <x:v>The default role is denied.</x:v>
      </x:c>
      <x:c r="O50" s="26" t="str">
        <x:v>Not Run</x:v>
      </x:c>
      <x:c r="P50" s="26" t="str"/>
      <x:c r="Q50" s="26" t="str"/>
      <x:c r="R50" s="26" t="str"/>
      <x:c r="S50" s="26" t="str"/>
      <x:c r="T50" s="26" t="str"/>
      <x:c r="U50" s="26" t="str">
        <x:v>QA</x:v>
      </x:c>
      <x:c r="V50" s="26" t="str"/>
      <x:c r="W50" s="29" t="str"/>
      <x:c r="X50" s="26" t="str"/>
      <x:c r="Y50" s="26" t="str">
        <x:v>Not Required</x:v>
      </x:c>
      <x:c r="Z50" s="26" t="str"/>
      <x:c r="AA50" s="28" t="n">
        <x:f>IF(OR(O50="Passed",O50="Failed",O50="Blocked"),1,0)</x:f>
        <x:v>0</x:v>
      </x:c>
      <x:c r="AB50" s="28" t="n">
        <x:f>IF(O50="Passed",1,0)</x:f>
        <x:v>0</x:v>
      </x:c>
      <x:c r="AC50" s="28" t="n">
        <x:f>IF(AND(OR(R50="Critical",R50="High"),OR(O50="Failed",O50="Blocked"),S50&lt;&gt;"Closed",S50&lt;&gt;"Rejected"),1,0)</x:f>
        <x:v>0</x:v>
      </x:c>
      <x:c r="AD50" s="28" t="n">
        <x:f>IF(X50&lt;&gt;"",1,0)</x:f>
        <x:v>0</x:v>
      </x:c>
      <x:c r="AE50" s="28" t="n">
        <x:f>IF(J50&lt;&gt;"",1,0)</x:f>
        <x:v>0</x:v>
      </x:c>
    </x:row>
    <x:row r="51">
      <x:c r="A51" s="23" t="str">
        <x:v>L2-020</x:v>
      </x:c>
      <x:c r="B51" s="23" t="str">
        <x:v>Level 2</x:v>
      </x:c>
      <x:c r="C51" s="23" t="str">
        <x:v>RBAC &amp; Settings</x:v>
      </x:c>
      <x:c r="D51" s="23" t="str"/>
      <x:c r="E51" s="23" t="str">
        <x:v>Front Desk broad permissions</x:v>
      </x:c>
      <x:c r="F51" s="23" t="str">
        <x:v>Functional</x:v>
      </x:c>
      <x:c r="G51" s="23" t="str">
        <x:v>Admin</x:v>
      </x:c>
      <x:c r="H51" s="23" t="str">
        <x:v>Critical</x:v>
      </x:c>
      <x:c r="I51" s="23" t="str">
        <x:v>Yes</x:v>
      </x:c>
      <x:c r="J51" s="23" t="str">
        <x:v>Front Desk template is broader than its description</x:v>
      </x:c>
      <x:c r="K51" s="23" t="str">
        <x:v>Required master data and user exist.</x:v>
      </x:c>
      <x:c r="L51" s="23" t="str">
        <x:v>Use dedicated non-production test data.</x:v>
      </x:c>
      <x:c r="M51" s="23" t="str">
        <x:v>1. Sign in as Admin. 2. Check test-delete, sample-update and report-edit actions. 3. Save or submit. 4. Refresh or reopen the record. 5. Compare the result with the pass condition.</x:v>
      </x:c>
      <x:c r="N51" s="23" t="str">
        <x:v>Behavior matches the approved Front Desk policy.</x:v>
      </x:c>
      <x:c r="O51" s="26" t="str">
        <x:v>Not Run</x:v>
      </x:c>
      <x:c r="P51" s="26" t="str"/>
      <x:c r="Q51" s="26" t="str"/>
      <x:c r="R51" s="26" t="str"/>
      <x:c r="S51" s="26" t="str"/>
      <x:c r="T51" s="26" t="str"/>
      <x:c r="U51" s="26" t="str">
        <x:v>QA</x:v>
      </x:c>
      <x:c r="V51" s="26" t="str"/>
      <x:c r="W51" s="29" t="str"/>
      <x:c r="X51" s="26" t="str"/>
      <x:c r="Y51" s="26" t="str">
        <x:v>Not Required</x:v>
      </x:c>
      <x:c r="Z51" s="26" t="str"/>
      <x:c r="AA51" s="28" t="n">
        <x:f>IF(OR(O51="Passed",O51="Failed",O51="Blocked"),1,0)</x:f>
        <x:v>0</x:v>
      </x:c>
      <x:c r="AB51" s="28" t="n">
        <x:f>IF(O51="Passed",1,0)</x:f>
        <x:v>0</x:v>
      </x:c>
      <x:c r="AC51" s="28" t="n">
        <x:f>IF(AND(OR(R51="Critical",R51="High"),OR(O51="Failed",O51="Blocked"),S51&lt;&gt;"Closed",S51&lt;&gt;"Rejected"),1,0)</x:f>
        <x:v>0</x:v>
      </x:c>
      <x:c r="AD51" s="28" t="n">
        <x:f>IF(X51&lt;&gt;"",1,0)</x:f>
        <x:v>0</x:v>
      </x:c>
      <x:c r="AE51" s="28" t="n">
        <x:f>IF(J51&lt;&gt;"",1,0)</x:f>
        <x:v>1</x:v>
      </x:c>
    </x:row>
    <x:row r="52">
      <x:c r="A52" s="23" t="str">
        <x:v>L2-021</x:v>
      </x:c>
      <x:c r="B52" s="23" t="str">
        <x:v>Level 2</x:v>
      </x:c>
      <x:c r="C52" s="23" t="str">
        <x:v>RBAC &amp; Settings</x:v>
      </x:c>
      <x:c r="D52" s="23" t="str"/>
      <x:c r="E52" s="23" t="str">
        <x:v>Role change audit</x:v>
      </x:c>
      <x:c r="F52" s="23" t="str">
        <x:v>Functional</x:v>
      </x:c>
      <x:c r="G52" s="23" t="str">
        <x:v>Admin</x:v>
      </x:c>
      <x:c r="H52" s="23" t="str">
        <x:v>High</x:v>
      </x:c>
      <x:c r="I52" s="23" t="str">
        <x:v>No</x:v>
      </x:c>
      <x:c r="J52" s="23" t="str">
        <x:v>Complete permission-change audit</x:v>
      </x:c>
      <x:c r="K52" s="23" t="str">
        <x:v>Required master data and user exist.</x:v>
      </x:c>
      <x:c r="L52" s="23" t="str">
        <x:v>Use dedicated non-production test data.</x:v>
      </x:c>
      <x:c r="M52" s="23" t="str">
        <x:v>1. Sign in as Admin. 2. Create and update a role. 3. Save or submit. 4. Refresh or reopen the record. 5. Compare the result with the pass condition.</x:v>
      </x:c>
      <x:c r="N52" s="23" t="str">
        <x:v>Actor, old/new permissions and time are auditable.</x:v>
      </x:c>
      <x:c r="O52" s="26" t="str">
        <x:v>Not Run</x:v>
      </x:c>
      <x:c r="P52" s="26" t="str"/>
      <x:c r="Q52" s="26" t="str"/>
      <x:c r="R52" s="26" t="str"/>
      <x:c r="S52" s="26" t="str"/>
      <x:c r="T52" s="26" t="str"/>
      <x:c r="U52" s="26" t="str">
        <x:v>QA</x:v>
      </x:c>
      <x:c r="V52" s="26" t="str"/>
      <x:c r="W52" s="29" t="str"/>
      <x:c r="X52" s="26" t="str"/>
      <x:c r="Y52" s="26" t="str">
        <x:v>Not Required</x:v>
      </x:c>
      <x:c r="Z52" s="26" t="str"/>
      <x:c r="AA52" s="28" t="n">
        <x:f>IF(OR(O52="Passed",O52="Failed",O52="Blocked"),1,0)</x:f>
        <x:v>0</x:v>
      </x:c>
      <x:c r="AB52" s="28" t="n">
        <x:f>IF(O52="Passed",1,0)</x:f>
        <x:v>0</x:v>
      </x:c>
      <x:c r="AC52" s="28" t="n">
        <x:f>IF(AND(OR(R52="Critical",R52="High"),OR(O52="Failed",O52="Blocked"),S52&lt;&gt;"Closed",S52&lt;&gt;"Rejected"),1,0)</x:f>
        <x:v>0</x:v>
      </x:c>
      <x:c r="AD52" s="28" t="n">
        <x:f>IF(X52&lt;&gt;"",1,0)</x:f>
        <x:v>0</x:v>
      </x:c>
      <x:c r="AE52" s="28" t="n">
        <x:f>IF(J52&lt;&gt;"",1,0)</x:f>
        <x:v>1</x:v>
      </x:c>
    </x:row>
    <x:row r="53">
      <x:c r="A53" s="23" t="str">
        <x:v>L2-022</x:v>
      </x:c>
      <x:c r="B53" s="23" t="str">
        <x:v>Level 2</x:v>
      </x:c>
      <x:c r="C53" s="23" t="str">
        <x:v>RBAC &amp; Settings</x:v>
      </x:c>
      <x:c r="D53" s="23" t="str"/>
      <x:c r="E53" s="23" t="str">
        <x:v>Inactive role</x:v>
      </x:c>
      <x:c r="F53" s="23" t="str">
        <x:v>Functional</x:v>
      </x:c>
      <x:c r="G53" s="23" t="str">
        <x:v>Admin</x:v>
      </x:c>
      <x:c r="H53" s="23" t="str">
        <x:v>Medium</x:v>
      </x:c>
      <x:c r="I53" s="23" t="str">
        <x:v>No</x:v>
      </x:c>
      <x:c r="J53" s="23" t="str"/>
      <x:c r="K53" s="23" t="str">
        <x:v>Required master data and user exist.</x:v>
      </x:c>
      <x:c r="L53" s="23" t="str">
        <x:v>Use dedicated non-production test data.</x:v>
      </x:c>
      <x:c r="M53" s="23" t="str">
        <x:v>1. Sign in as Admin. 2. Deactivate a role and try to use it. 3. Save or submit. 4. Refresh or reopen the record. 5. Compare the result with the pass condition.</x:v>
      </x:c>
      <x:c r="N53" s="23" t="str">
        <x:v>The role cannot grant access.</x:v>
      </x:c>
      <x:c r="O53" s="26" t="str">
        <x:v>Not Run</x:v>
      </x:c>
      <x:c r="P53" s="26" t="str"/>
      <x:c r="Q53" s="26" t="str"/>
      <x:c r="R53" s="26" t="str"/>
      <x:c r="S53" s="26" t="str"/>
      <x:c r="T53" s="26" t="str"/>
      <x:c r="U53" s="26" t="str">
        <x:v>QA</x:v>
      </x:c>
      <x:c r="V53" s="26" t="str"/>
      <x:c r="W53" s="29" t="str"/>
      <x:c r="X53" s="26" t="str"/>
      <x:c r="Y53" s="26" t="str">
        <x:v>Not Required</x:v>
      </x:c>
      <x:c r="Z53" s="26" t="str"/>
      <x:c r="AA53" s="28" t="n">
        <x:f>IF(OR(O53="Passed",O53="Failed",O53="Blocked"),1,0)</x:f>
        <x:v>0</x:v>
      </x:c>
      <x:c r="AB53" s="28" t="n">
        <x:f>IF(O53="Passed",1,0)</x:f>
        <x:v>0</x:v>
      </x:c>
      <x:c r="AC53" s="28" t="n">
        <x:f>IF(AND(OR(R53="Critical",R53="High"),OR(O53="Failed",O53="Blocked"),S53&lt;&gt;"Closed",S53&lt;&gt;"Rejected"),1,0)</x:f>
        <x:v>0</x:v>
      </x:c>
      <x:c r="AD53" s="28" t="n">
        <x:f>IF(X53&lt;&gt;"",1,0)</x:f>
        <x:v>0</x:v>
      </x:c>
      <x:c r="AE53" s="28" t="n">
        <x:f>IF(J53&lt;&gt;"",1,0)</x:f>
        <x:v>0</x:v>
      </x:c>
    </x:row>
    <x:row r="54">
      <x:c r="A54" s="23" t="str">
        <x:v>L2-023</x:v>
      </x:c>
      <x:c r="B54" s="23" t="str">
        <x:v>Level 2</x:v>
      </x:c>
      <x:c r="C54" s="23" t="str">
        <x:v>Patients &amp; Visits</x:v>
      </x:c>
      <x:c r="D54" s="23" t="str"/>
      <x:c r="E54" s="23" t="str">
        <x:v>Required fields</x:v>
      </x:c>
      <x:c r="F54" s="23" t="str">
        <x:v>Functional</x:v>
      </x:c>
      <x:c r="G54" s="23" t="str">
        <x:v>Front Desk Receptionist</x:v>
      </x:c>
      <x:c r="H54" s="23" t="str">
        <x:v>Medium</x:v>
      </x:c>
      <x:c r="I54" s="23" t="str">
        <x:v>No</x:v>
      </x:c>
      <x:c r="J54" s="23" t="str"/>
      <x:c r="K54" s="23" t="str">
        <x:v>Required master data and user exist.</x:v>
      </x:c>
      <x:c r="L54" s="23" t="str">
        <x:v>Use dedicated non-production test data.</x:v>
      </x:c>
      <x:c r="M54" s="23" t="str">
        <x:v>1. Sign in as Front Desk Receptionist. 2. Submit each required field as blank. 3. Save or submit. 4. Refresh or reopen the record. 5. Compare the result with the pass condition.</x:v>
      </x:c>
      <x:c r="N54" s="23" t="str">
        <x:v>Clear field validation blocks save.</x:v>
      </x:c>
      <x:c r="O54" s="26" t="str">
        <x:v>Not Run</x:v>
      </x:c>
      <x:c r="P54" s="26" t="str"/>
      <x:c r="Q54" s="26" t="str"/>
      <x:c r="R54" s="26" t="str"/>
      <x:c r="S54" s="26" t="str"/>
      <x:c r="T54" s="26" t="str"/>
      <x:c r="U54" s="26" t="str">
        <x:v>QA</x:v>
      </x:c>
      <x:c r="V54" s="26" t="str"/>
      <x:c r="W54" s="29" t="str"/>
      <x:c r="X54" s="26" t="str"/>
      <x:c r="Y54" s="26" t="str">
        <x:v>Not Required</x:v>
      </x:c>
      <x:c r="Z54" s="26" t="str"/>
      <x:c r="AA54" s="28" t="n">
        <x:f>IF(OR(O54="Passed",O54="Failed",O54="Blocked"),1,0)</x:f>
        <x:v>0</x:v>
      </x:c>
      <x:c r="AB54" s="28" t="n">
        <x:f>IF(O54="Passed",1,0)</x:f>
        <x:v>0</x:v>
      </x:c>
      <x:c r="AC54" s="28" t="n">
        <x:f>IF(AND(OR(R54="Critical",R54="High"),OR(O54="Failed",O54="Blocked"),S54&lt;&gt;"Closed",S54&lt;&gt;"Rejected"),1,0)</x:f>
        <x:v>0</x:v>
      </x:c>
      <x:c r="AD54" s="28" t="n">
        <x:f>IF(X54&lt;&gt;"",1,0)</x:f>
        <x:v>0</x:v>
      </x:c>
      <x:c r="AE54" s="28" t="n">
        <x:f>IF(J54&lt;&gt;"",1,0)</x:f>
        <x:v>0</x:v>
      </x:c>
    </x:row>
    <x:row r="55">
      <x:c r="A55" s="23" t="str">
        <x:v>L2-024</x:v>
      </x:c>
      <x:c r="B55" s="23" t="str">
        <x:v>Level 2</x:v>
      </x:c>
      <x:c r="C55" s="23" t="str">
        <x:v>Patients &amp; Visits</x:v>
      </x:c>
      <x:c r="D55" s="23" t="str"/>
      <x:c r="E55" s="23" t="str">
        <x:v>Phone and DOB validation</x:v>
      </x:c>
      <x:c r="F55" s="23" t="str">
        <x:v>Functional</x:v>
      </x:c>
      <x:c r="G55" s="23" t="str">
        <x:v>Front Desk Receptionist</x:v>
      </x:c>
      <x:c r="H55" s="23" t="str">
        <x:v>Medium</x:v>
      </x:c>
      <x:c r="I55" s="23" t="str">
        <x:v>No</x:v>
      </x:c>
      <x:c r="J55" s="23" t="str"/>
      <x:c r="K55" s="23" t="str">
        <x:v>Required master data and user exist.</x:v>
      </x:c>
      <x:c r="L55" s="23" t="str">
        <x:v>Use dedicated non-production test data.</x:v>
      </x:c>
      <x:c r="M55" s="23" t="str">
        <x:v>1. Sign in as Front Desk Receptionist. 2. Enter invalid phone and future DOB. 3. Save or submit. 4. Refresh or reopen the record. 5. Compare the result with the pass condition.</x:v>
      </x:c>
      <x:c r="N55" s="23" t="str">
        <x:v>Invalid values are blocked.</x:v>
      </x:c>
      <x:c r="O55" s="26" t="str">
        <x:v>Not Run</x:v>
      </x:c>
      <x:c r="P55" s="26" t="str"/>
      <x:c r="Q55" s="26" t="str"/>
      <x:c r="R55" s="26" t="str"/>
      <x:c r="S55" s="26" t="str"/>
      <x:c r="T55" s="26" t="str"/>
      <x:c r="U55" s="26" t="str">
        <x:v>QA</x:v>
      </x:c>
      <x:c r="V55" s="26" t="str"/>
      <x:c r="W55" s="29" t="str"/>
      <x:c r="X55" s="26" t="str"/>
      <x:c r="Y55" s="26" t="str">
        <x:v>Not Required</x:v>
      </x:c>
      <x:c r="Z55" s="26" t="str"/>
      <x:c r="AA55" s="28" t="n">
        <x:f>IF(OR(O55="Passed",O55="Failed",O55="Blocked"),1,0)</x:f>
        <x:v>0</x:v>
      </x:c>
      <x:c r="AB55" s="28" t="n">
        <x:f>IF(O55="Passed",1,0)</x:f>
        <x:v>0</x:v>
      </x:c>
      <x:c r="AC55" s="28" t="n">
        <x:f>IF(AND(OR(R55="Critical",R55="High"),OR(O55="Failed",O55="Blocked"),S55&lt;&gt;"Closed",S55&lt;&gt;"Rejected"),1,0)</x:f>
        <x:v>0</x:v>
      </x:c>
      <x:c r="AD55" s="28" t="n">
        <x:f>IF(X55&lt;&gt;"",1,0)</x:f>
        <x:v>0</x:v>
      </x:c>
      <x:c r="AE55" s="28" t="n">
        <x:f>IF(J55&lt;&gt;"",1,0)</x:f>
        <x:v>0</x:v>
      </x:c>
    </x:row>
    <x:row r="56">
      <x:c r="A56" s="23" t="str">
        <x:v>L2-025</x:v>
      </x:c>
      <x:c r="B56" s="23" t="str">
        <x:v>Level 2</x:v>
      </x:c>
      <x:c r="C56" s="23" t="str">
        <x:v>Patients &amp; Visits</x:v>
      </x:c>
      <x:c r="D56" s="23" t="str"/>
      <x:c r="E56" s="23" t="str">
        <x:v>Duplicate warning</x:v>
      </x:c>
      <x:c r="F56" s="23" t="str">
        <x:v>Functional</x:v>
      </x:c>
      <x:c r="G56" s="23" t="str">
        <x:v>Front Desk Receptionist</x:v>
      </x:c>
      <x:c r="H56" s="23" t="str">
        <x:v>Medium</x:v>
      </x:c>
      <x:c r="I56" s="23" t="str">
        <x:v>No</x:v>
      </x:c>
      <x:c r="J56" s="23" t="str"/>
      <x:c r="K56" s="23" t="str">
        <x:v>Required master data and user exist.</x:v>
      </x:c>
      <x:c r="L56" s="23" t="str">
        <x:v>Use dedicated non-production test data.</x:v>
      </x:c>
      <x:c r="M56" s="23" t="str">
        <x:v>1. Sign in as Front Desk Receptionist. 2. Register matching name and phone. 3. Save or submit. 4. Refresh or reopen the record. 5. Compare the result with the pass condition.</x:v>
      </x:c>
      <x:c r="N56" s="23" t="str">
        <x:v>The configured duplicate warning/block appears.</x:v>
      </x:c>
      <x:c r="O56" s="26" t="str">
        <x:v>Not Run</x:v>
      </x:c>
      <x:c r="P56" s="26" t="str"/>
      <x:c r="Q56" s="26" t="str"/>
      <x:c r="R56" s="26" t="str"/>
      <x:c r="S56" s="26" t="str"/>
      <x:c r="T56" s="26" t="str"/>
      <x:c r="U56" s="26" t="str">
        <x:v>QA</x:v>
      </x:c>
      <x:c r="V56" s="26" t="str"/>
      <x:c r="W56" s="29" t="str"/>
      <x:c r="X56" s="26" t="str"/>
      <x:c r="Y56" s="26" t="str">
        <x:v>Not Required</x:v>
      </x:c>
      <x:c r="Z56" s="26" t="str"/>
      <x:c r="AA56" s="28" t="n">
        <x:f>IF(OR(O56="Passed",O56="Failed",O56="Blocked"),1,0)</x:f>
        <x:v>0</x:v>
      </x:c>
      <x:c r="AB56" s="28" t="n">
        <x:f>IF(O56="Passed",1,0)</x:f>
        <x:v>0</x:v>
      </x:c>
      <x:c r="AC56" s="28" t="n">
        <x:f>IF(AND(OR(R56="Critical",R56="High"),OR(O56="Failed",O56="Blocked"),S56&lt;&gt;"Closed",S56&lt;&gt;"Rejected"),1,0)</x:f>
        <x:v>0</x:v>
      </x:c>
      <x:c r="AD56" s="28" t="n">
        <x:f>IF(X56&lt;&gt;"",1,0)</x:f>
        <x:v>0</x:v>
      </x:c>
      <x:c r="AE56" s="28" t="n">
        <x:f>IF(J56&lt;&gt;"",1,0)</x:f>
        <x:v>0</x:v>
      </x:c>
    </x:row>
    <x:row r="57">
      <x:c r="A57" s="23" t="str">
        <x:v>L2-026</x:v>
      </x:c>
      <x:c r="B57" s="23" t="str">
        <x:v>Level 2</x:v>
      </x:c>
      <x:c r="C57" s="23" t="str">
        <x:v>Patients &amp; Visits</x:v>
      </x:c>
      <x:c r="D57" s="23" t="str"/>
      <x:c r="E57" s="23" t="str">
        <x:v>Forced duplicate</x:v>
      </x:c>
      <x:c r="F57" s="23" t="str">
        <x:v>Functional</x:v>
      </x:c>
      <x:c r="G57" s="23" t="str">
        <x:v>Front Desk Receptionist</x:v>
      </x:c>
      <x:c r="H57" s="23" t="str">
        <x:v>Medium</x:v>
      </x:c>
      <x:c r="I57" s="23" t="str">
        <x:v>No</x:v>
      </x:c>
      <x:c r="J57" s="23" t="str"/>
      <x:c r="K57" s="23" t="str">
        <x:v>Required master data and user exist.</x:v>
      </x:c>
      <x:c r="L57" s="23" t="str">
        <x:v>Use dedicated non-production test data.</x:v>
      </x:c>
      <x:c r="M57" s="23" t="str">
        <x:v>1. Sign in as Front Desk Receptionist. 2. Confirm a permitted duplicate. 3. Save or submit. 4. Refresh or reopen the record. 5. Compare the result with the pass condition.</x:v>
      </x:c>
      <x:c r="N57" s="23" t="str">
        <x:v>Creation requires explicit confirmation and remains traceable.</x:v>
      </x:c>
      <x:c r="O57" s="26" t="str">
        <x:v>Not Run</x:v>
      </x:c>
      <x:c r="P57" s="26" t="str"/>
      <x:c r="Q57" s="26" t="str"/>
      <x:c r="R57" s="26" t="str"/>
      <x:c r="S57" s="26" t="str"/>
      <x:c r="T57" s="26" t="str"/>
      <x:c r="U57" s="26" t="str">
        <x:v>QA</x:v>
      </x:c>
      <x:c r="V57" s="26" t="str"/>
      <x:c r="W57" s="29" t="str"/>
      <x:c r="X57" s="26" t="str"/>
      <x:c r="Y57" s="26" t="str">
        <x:v>Not Required</x:v>
      </x:c>
      <x:c r="Z57" s="26" t="str"/>
      <x:c r="AA57" s="28" t="n">
        <x:f>IF(OR(O57="Passed",O57="Failed",O57="Blocked"),1,0)</x:f>
        <x:v>0</x:v>
      </x:c>
      <x:c r="AB57" s="28" t="n">
        <x:f>IF(O57="Passed",1,0)</x:f>
        <x:v>0</x:v>
      </x:c>
      <x:c r="AC57" s="28" t="n">
        <x:f>IF(AND(OR(R57="Critical",R57="High"),OR(O57="Failed",O57="Blocked"),S57&lt;&gt;"Closed",S57&lt;&gt;"Rejected"),1,0)</x:f>
        <x:v>0</x:v>
      </x:c>
      <x:c r="AD57" s="28" t="n">
        <x:f>IF(X57&lt;&gt;"",1,0)</x:f>
        <x:v>0</x:v>
      </x:c>
      <x:c r="AE57" s="28" t="n">
        <x:f>IF(J57&lt;&gt;"",1,0)</x:f>
        <x:v>0</x:v>
      </x:c>
    </x:row>
    <x:row r="58">
      <x:c r="A58" s="23" t="str">
        <x:v>L2-027</x:v>
      </x:c>
      <x:c r="B58" s="23" t="str">
        <x:v>Level 2</x:v>
      </x:c>
      <x:c r="C58" s="23" t="str">
        <x:v>Patients &amp; Visits</x:v>
      </x:c>
      <x:c r="D58" s="23" t="str"/>
      <x:c r="E58" s="23" t="str">
        <x:v>Patient search</x:v>
      </x:c>
      <x:c r="F58" s="23" t="str">
        <x:v>Functional</x:v>
      </x:c>
      <x:c r="G58" s="23" t="str">
        <x:v>Front Desk Receptionist</x:v>
      </x:c>
      <x:c r="H58" s="23" t="str">
        <x:v>Medium</x:v>
      </x:c>
      <x:c r="I58" s="23" t="str">
        <x:v>No</x:v>
      </x:c>
      <x:c r="J58" s="23" t="str"/>
      <x:c r="K58" s="23" t="str">
        <x:v>Required master data and user exist.</x:v>
      </x:c>
      <x:c r="L58" s="23" t="str">
        <x:v>Use dedicated non-production test data.</x:v>
      </x:c>
      <x:c r="M58" s="23" t="str">
        <x:v>1. Sign in as Front Desk Receptionist. 2. Search by name, phone, patient ID and barcode. 3. Save or submit. 4. Refresh or reopen the record. 5. Compare the result with the pass condition.</x:v>
      </x:c>
      <x:c r="N58" s="23" t="str">
        <x:v>Correct records appear and permissions are respected.</x:v>
      </x:c>
      <x:c r="O58" s="26" t="str">
        <x:v>Not Run</x:v>
      </x:c>
      <x:c r="P58" s="26" t="str"/>
      <x:c r="Q58" s="26" t="str"/>
      <x:c r="R58" s="26" t="str"/>
      <x:c r="S58" s="26" t="str"/>
      <x:c r="T58" s="26" t="str"/>
      <x:c r="U58" s="26" t="str">
        <x:v>QA</x:v>
      </x:c>
      <x:c r="V58" s="26" t="str"/>
      <x:c r="W58" s="29" t="str"/>
      <x:c r="X58" s="26" t="str"/>
      <x:c r="Y58" s="26" t="str">
        <x:v>Not Required</x:v>
      </x:c>
      <x:c r="Z58" s="26" t="str"/>
      <x:c r="AA58" s="28" t="n">
        <x:f>IF(OR(O58="Passed",O58="Failed",O58="Blocked"),1,0)</x:f>
        <x:v>0</x:v>
      </x:c>
      <x:c r="AB58" s="28" t="n">
        <x:f>IF(O58="Passed",1,0)</x:f>
        <x:v>0</x:v>
      </x:c>
      <x:c r="AC58" s="28" t="n">
        <x:f>IF(AND(OR(R58="Critical",R58="High"),OR(O58="Failed",O58="Blocked"),S58&lt;&gt;"Closed",S58&lt;&gt;"Rejected"),1,0)</x:f>
        <x:v>0</x:v>
      </x:c>
      <x:c r="AD58" s="28" t="n">
        <x:f>IF(X58&lt;&gt;"",1,0)</x:f>
        <x:v>0</x:v>
      </x:c>
      <x:c r="AE58" s="28" t="n">
        <x:f>IF(J58&lt;&gt;"",1,0)</x:f>
        <x:v>0</x:v>
      </x:c>
    </x:row>
    <x:row r="59">
      <x:c r="A59" s="23" t="str">
        <x:v>L2-028</x:v>
      </x:c>
      <x:c r="B59" s="23" t="str">
        <x:v>Level 2</x:v>
      </x:c>
      <x:c r="C59" s="23" t="str">
        <x:v>Patients &amp; Visits</x:v>
      </x:c>
      <x:c r="D59" s="23" t="str"/>
      <x:c r="E59" s="23" t="str">
        <x:v>Special-character search</x:v>
      </x:c>
      <x:c r="F59" s="23" t="str">
        <x:v>Negative</x:v>
      </x:c>
      <x:c r="G59" s="23" t="str">
        <x:v>Front Desk Receptionist</x:v>
      </x:c>
      <x:c r="H59" s="23" t="str">
        <x:v>Medium</x:v>
      </x:c>
      <x:c r="I59" s="23" t="str">
        <x:v>No</x:v>
      </x:c>
      <x:c r="J59" s="23" t="str"/>
      <x:c r="K59" s="23" t="str">
        <x:v>Required master data and user exist.</x:v>
      </x:c>
      <x:c r="L59" s="23" t="str">
        <x:v>Use dedicated non-production test data.</x:v>
      </x:c>
      <x:c r="M59" s="23" t="str">
        <x:v>1. Sign in as Front Desk Receptionist. 2. Search with + . * ( ). 3. Save or submit. 4. Refresh or reopen the record. 5. Compare the result with the pass condition.</x:v>
      </x:c>
      <x:c r="N59" s="23" t="str">
        <x:v>Search is escaped and does not crash.</x:v>
      </x:c>
      <x:c r="O59" s="26" t="str">
        <x:v>Not Run</x:v>
      </x:c>
      <x:c r="P59" s="26" t="str"/>
      <x:c r="Q59" s="26" t="str"/>
      <x:c r="R59" s="26" t="str"/>
      <x:c r="S59" s="26" t="str"/>
      <x:c r="T59" s="26" t="str"/>
      <x:c r="U59" s="26" t="str">
        <x:v>QA</x:v>
      </x:c>
      <x:c r="V59" s="26" t="str"/>
      <x:c r="W59" s="29" t="str"/>
      <x:c r="X59" s="26" t="str"/>
      <x:c r="Y59" s="26" t="str">
        <x:v>Not Required</x:v>
      </x:c>
      <x:c r="Z59" s="26" t="str"/>
      <x:c r="AA59" s="28" t="n">
        <x:f>IF(OR(O59="Passed",O59="Failed",O59="Blocked"),1,0)</x:f>
        <x:v>0</x:v>
      </x:c>
      <x:c r="AB59" s="28" t="n">
        <x:f>IF(O59="Passed",1,0)</x:f>
        <x:v>0</x:v>
      </x:c>
      <x:c r="AC59" s="28" t="n">
        <x:f>IF(AND(OR(R59="Critical",R59="High"),OR(O59="Failed",O59="Blocked"),S59&lt;&gt;"Closed",S59&lt;&gt;"Rejected"),1,0)</x:f>
        <x:v>0</x:v>
      </x:c>
      <x:c r="AD59" s="28" t="n">
        <x:f>IF(X59&lt;&gt;"",1,0)</x:f>
        <x:v>0</x:v>
      </x:c>
      <x:c r="AE59" s="28" t="n">
        <x:f>IF(J59&lt;&gt;"",1,0)</x:f>
        <x:v>0</x:v>
      </x:c>
    </x:row>
    <x:row r="60">
      <x:c r="A60" s="23" t="str">
        <x:v>L2-029</x:v>
      </x:c>
      <x:c r="B60" s="23" t="str">
        <x:v>Level 2</x:v>
      </x:c>
      <x:c r="C60" s="23" t="str">
        <x:v>Patients &amp; Visits</x:v>
      </x:c>
      <x:c r="D60" s="23" t="str"/>
      <x:c r="E60" s="23" t="str">
        <x:v>Edit patient</x:v>
      </x:c>
      <x:c r="F60" s="23" t="str">
        <x:v>Functional</x:v>
      </x:c>
      <x:c r="G60" s="23" t="str">
        <x:v>Front Desk Receptionist</x:v>
      </x:c>
      <x:c r="H60" s="23" t="str">
        <x:v>Medium</x:v>
      </x:c>
      <x:c r="I60" s="23" t="str">
        <x:v>No</x:v>
      </x:c>
      <x:c r="J60" s="23" t="str"/>
      <x:c r="K60" s="23" t="str">
        <x:v>Required master data and user exist.</x:v>
      </x:c>
      <x:c r="L60" s="23" t="str">
        <x:v>Use dedicated non-production test data.</x:v>
      </x:c>
      <x:c r="M60" s="23" t="str">
        <x:v>1. Sign in as Front Desk Receptionist. 2. Change allowed demographics and refresh. 3. Save or submit. 4. Refresh or reopen the record. 5. Compare the result with the pass condition.</x:v>
      </x:c>
      <x:c r="N60" s="23" t="str">
        <x:v>Changes persist and linked records remain intact.</x:v>
      </x:c>
      <x:c r="O60" s="26" t="str">
        <x:v>Not Run</x:v>
      </x:c>
      <x:c r="P60" s="26" t="str"/>
      <x:c r="Q60" s="26" t="str"/>
      <x:c r="R60" s="26" t="str"/>
      <x:c r="S60" s="26" t="str"/>
      <x:c r="T60" s="26" t="str"/>
      <x:c r="U60" s="26" t="str">
        <x:v>QA</x:v>
      </x:c>
      <x:c r="V60" s="26" t="str"/>
      <x:c r="W60" s="29" t="str"/>
      <x:c r="X60" s="26" t="str"/>
      <x:c r="Y60" s="26" t="str">
        <x:v>Not Required</x:v>
      </x:c>
      <x:c r="Z60" s="26" t="str"/>
      <x:c r="AA60" s="28" t="n">
        <x:f>IF(OR(O60="Passed",O60="Failed",O60="Blocked"),1,0)</x:f>
        <x:v>0</x:v>
      </x:c>
      <x:c r="AB60" s="28" t="n">
        <x:f>IF(O60="Passed",1,0)</x:f>
        <x:v>0</x:v>
      </x:c>
      <x:c r="AC60" s="28" t="n">
        <x:f>IF(AND(OR(R60="Critical",R60="High"),OR(O60="Failed",O60="Blocked"),S60&lt;&gt;"Closed",S60&lt;&gt;"Rejected"),1,0)</x:f>
        <x:v>0</x:v>
      </x:c>
      <x:c r="AD60" s="28" t="n">
        <x:f>IF(X60&lt;&gt;"",1,0)</x:f>
        <x:v>0</x:v>
      </x:c>
      <x:c r="AE60" s="28" t="n">
        <x:f>IF(J60&lt;&gt;"",1,0)</x:f>
        <x:v>0</x:v>
      </x:c>
    </x:row>
    <x:row r="61">
      <x:c r="A61" s="23" t="str">
        <x:v>L2-030</x:v>
      </x:c>
      <x:c r="B61" s="23" t="str">
        <x:v>Level 2</x:v>
      </x:c>
      <x:c r="C61" s="23" t="str">
        <x:v>Patients &amp; Visits</x:v>
      </x:c>
      <x:c r="D61" s="23" t="str"/>
      <x:c r="E61" s="23" t="str">
        <x:v>Repeat visit</x:v>
      </x:c>
      <x:c r="F61" s="23" t="str">
        <x:v>Functional</x:v>
      </x:c>
      <x:c r="G61" s="23" t="str">
        <x:v>Front Desk Receptionist</x:v>
      </x:c>
      <x:c r="H61" s="23" t="str">
        <x:v>Medium</x:v>
      </x:c>
      <x:c r="I61" s="23" t="str">
        <x:v>No</x:v>
      </x:c>
      <x:c r="J61" s="23" t="str"/>
      <x:c r="K61" s="23" t="str">
        <x:v>Required master data and user exist.</x:v>
      </x:c>
      <x:c r="L61" s="23" t="str">
        <x:v>Use dedicated non-production test data.</x:v>
      </x:c>
      <x:c r="M61" s="23" t="str">
        <x:v>1. Sign in as Front Desk Receptionist. 2. Create a new visit for an existing patient. 3. Save or submit. 4. Refresh or reopen the record. 5. Compare the result with the pass condition.</x:v>
      </x:c>
      <x:c r="N61" s="23" t="str">
        <x:v>History keeps both visits under one patient.</x:v>
      </x:c>
      <x:c r="O61" s="26" t="str">
        <x:v>Not Run</x:v>
      </x:c>
      <x:c r="P61" s="26" t="str"/>
      <x:c r="Q61" s="26" t="str"/>
      <x:c r="R61" s="26" t="str"/>
      <x:c r="S61" s="26" t="str"/>
      <x:c r="T61" s="26" t="str"/>
      <x:c r="U61" s="26" t="str">
        <x:v>QA</x:v>
      </x:c>
      <x:c r="V61" s="26" t="str"/>
      <x:c r="W61" s="29" t="str"/>
      <x:c r="X61" s="26" t="str"/>
      <x:c r="Y61" s="26" t="str">
        <x:v>Not Required</x:v>
      </x:c>
      <x:c r="Z61" s="26" t="str"/>
      <x:c r="AA61" s="28" t="n">
        <x:f>IF(OR(O61="Passed",O61="Failed",O61="Blocked"),1,0)</x:f>
        <x:v>0</x:v>
      </x:c>
      <x:c r="AB61" s="28" t="n">
        <x:f>IF(O61="Passed",1,0)</x:f>
        <x:v>0</x:v>
      </x:c>
      <x:c r="AC61" s="28" t="n">
        <x:f>IF(AND(OR(R61="Critical",R61="High"),OR(O61="Failed",O61="Blocked"),S61&lt;&gt;"Closed",S61&lt;&gt;"Rejected"),1,0)</x:f>
        <x:v>0</x:v>
      </x:c>
      <x:c r="AD61" s="28" t="n">
        <x:f>IF(X61&lt;&gt;"",1,0)</x:f>
        <x:v>0</x:v>
      </x:c>
      <x:c r="AE61" s="28" t="n">
        <x:f>IF(J61&lt;&gt;"",1,0)</x:f>
        <x:v>0</x:v>
      </x:c>
    </x:row>
    <x:row r="62">
      <x:c r="A62" s="23" t="str">
        <x:v>L2-031</x:v>
      </x:c>
      <x:c r="B62" s="23" t="str">
        <x:v>Level 2</x:v>
      </x:c>
      <x:c r="C62" s="23" t="str">
        <x:v>Patients &amp; Visits</x:v>
      </x:c>
      <x:c r="D62" s="23" t="str"/>
      <x:c r="E62" s="23" t="str">
        <x:v>Delete linked patient</x:v>
      </x:c>
      <x:c r="F62" s="23" t="str">
        <x:v>Functional</x:v>
      </x:c>
      <x:c r="G62" s="23" t="str">
        <x:v>Front Desk Receptionist</x:v>
      </x:c>
      <x:c r="H62" s="23" t="str">
        <x:v>Critical</x:v>
      </x:c>
      <x:c r="I62" s="23" t="str">
        <x:v>Yes</x:v>
      </x:c>
      <x:c r="J62" s="23" t="str">
        <x:v>Deletion protection for linked patients</x:v>
      </x:c>
      <x:c r="K62" s="23" t="str">
        <x:v>Required master data and user exist.</x:v>
      </x:c>
      <x:c r="L62" s="23" t="str">
        <x:v>Use dedicated non-production test data.</x:v>
      </x:c>
      <x:c r="M62" s="23" t="str">
        <x:v>1. Sign in as Front Desk Receptionist. 2. Try to delete a patient with bills/reports. 3. Save or submit. 4. Refresh or reopen the record. 5. Compare the result with the pass condition.</x:v>
      </x:c>
      <x:c r="N62" s="23" t="str">
        <x:v>Deletion is blocked or follows the approved safe policy.</x:v>
      </x:c>
      <x:c r="O62" s="26" t="str">
        <x:v>Not Run</x:v>
      </x:c>
      <x:c r="P62" s="26" t="str"/>
      <x:c r="Q62" s="26" t="str"/>
      <x:c r="R62" s="26" t="str"/>
      <x:c r="S62" s="26" t="str"/>
      <x:c r="T62" s="26" t="str"/>
      <x:c r="U62" s="26" t="str">
        <x:v>QA</x:v>
      </x:c>
      <x:c r="V62" s="26" t="str"/>
      <x:c r="W62" s="29" t="str"/>
      <x:c r="X62" s="26" t="str"/>
      <x:c r="Y62" s="26" t="str">
        <x:v>Not Required</x:v>
      </x:c>
      <x:c r="Z62" s="26" t="str"/>
      <x:c r="AA62" s="28" t="n">
        <x:f>IF(OR(O62="Passed",O62="Failed",O62="Blocked"),1,0)</x:f>
        <x:v>0</x:v>
      </x:c>
      <x:c r="AB62" s="28" t="n">
        <x:f>IF(O62="Passed",1,0)</x:f>
        <x:v>0</x:v>
      </x:c>
      <x:c r="AC62" s="28" t="n">
        <x:f>IF(AND(OR(R62="Critical",R62="High"),OR(O62="Failed",O62="Blocked"),S62&lt;&gt;"Closed",S62&lt;&gt;"Rejected"),1,0)</x:f>
        <x:v>0</x:v>
      </x:c>
      <x:c r="AD62" s="28" t="n">
        <x:f>IF(X62&lt;&gt;"",1,0)</x:f>
        <x:v>0</x:v>
      </x:c>
      <x:c r="AE62" s="28" t="n">
        <x:f>IF(J62&lt;&gt;"",1,0)</x:f>
        <x:v>1</x:v>
      </x:c>
    </x:row>
    <x:row r="63">
      <x:c r="A63" s="23" t="str">
        <x:v>L2-032</x:v>
      </x:c>
      <x:c r="B63" s="23" t="str">
        <x:v>Level 2</x:v>
      </x:c>
      <x:c r="C63" s="23" t="str">
        <x:v>Patients &amp; Visits</x:v>
      </x:c>
      <x:c r="D63" s="23" t="str"/>
      <x:c r="E63" s="23" t="str">
        <x:v>Soft delete and restore</x:v>
      </x:c>
      <x:c r="F63" s="23" t="str">
        <x:v>Functional</x:v>
      </x:c>
      <x:c r="G63" s="23" t="str">
        <x:v>Front Desk Receptionist</x:v>
      </x:c>
      <x:c r="H63" s="23" t="str">
        <x:v>Medium</x:v>
      </x:c>
      <x:c r="I63" s="23" t="str">
        <x:v>No</x:v>
      </x:c>
      <x:c r="J63" s="23" t="str">
        <x:v>Patient soft-delete/restore is pending</x:v>
      </x:c>
      <x:c r="K63" s="23" t="str">
        <x:v>Required master data and user exist.</x:v>
      </x:c>
      <x:c r="L63" s="23" t="str">
        <x:v>Use dedicated non-production test data.</x:v>
      </x:c>
      <x:c r="M63" s="23" t="str">
        <x:v>1. Sign in as Front Desk Receptionist. 2. Delete and restore a patient. 3. Save or submit. 4. Refresh or reopen the record. 5. Compare the result with the pass condition.</x:v>
      </x:c>
      <x:c r="N63" s="23" t="str">
        <x:v>History and links are preserved.</x:v>
      </x:c>
      <x:c r="O63" s="26" t="str">
        <x:v>Not Run</x:v>
      </x:c>
      <x:c r="P63" s="26" t="str"/>
      <x:c r="Q63" s="26" t="str"/>
      <x:c r="R63" s="26" t="str"/>
      <x:c r="S63" s="26" t="str"/>
      <x:c r="T63" s="26" t="str"/>
      <x:c r="U63" s="26" t="str">
        <x:v>QA</x:v>
      </x:c>
      <x:c r="V63" s="26" t="str"/>
      <x:c r="W63" s="29" t="str"/>
      <x:c r="X63" s="26" t="str"/>
      <x:c r="Y63" s="26" t="str">
        <x:v>Not Required</x:v>
      </x:c>
      <x:c r="Z63" s="26" t="str"/>
      <x:c r="AA63" s="28" t="n">
        <x:f>IF(OR(O63="Passed",O63="Failed",O63="Blocked"),1,0)</x:f>
        <x:v>0</x:v>
      </x:c>
      <x:c r="AB63" s="28" t="n">
        <x:f>IF(O63="Passed",1,0)</x:f>
        <x:v>0</x:v>
      </x:c>
      <x:c r="AC63" s="28" t="n">
        <x:f>IF(AND(OR(R63="Critical",R63="High"),OR(O63="Failed",O63="Blocked"),S63&lt;&gt;"Closed",S63&lt;&gt;"Rejected"),1,0)</x:f>
        <x:v>0</x:v>
      </x:c>
      <x:c r="AD63" s="28" t="n">
        <x:f>IF(X63&lt;&gt;"",1,0)</x:f>
        <x:v>0</x:v>
      </x:c>
      <x:c r="AE63" s="28" t="n">
        <x:f>IF(J63&lt;&gt;"",1,0)</x:f>
        <x:v>1</x:v>
      </x:c>
    </x:row>
    <x:row r="64">
      <x:c r="A64" s="23" t="str">
        <x:v>L2-033</x:v>
      </x:c>
      <x:c r="B64" s="23" t="str">
        <x:v>Level 2</x:v>
      </x:c>
      <x:c r="C64" s="23" t="str">
        <x:v>Patients &amp; Visits</x:v>
      </x:c>
      <x:c r="D64" s="23" t="str"/>
      <x:c r="E64" s="23" t="str">
        <x:v>Patient edit audit</x:v>
      </x:c>
      <x:c r="F64" s="23" t="str">
        <x:v>Functional</x:v>
      </x:c>
      <x:c r="G64" s="23" t="str">
        <x:v>Front Desk Receptionist</x:v>
      </x:c>
      <x:c r="H64" s="23" t="str">
        <x:v>Medium</x:v>
      </x:c>
      <x:c r="I64" s="23" t="str">
        <x:v>No</x:v>
      </x:c>
      <x:c r="J64" s="23" t="str">
        <x:v>Patient audit coverage</x:v>
      </x:c>
      <x:c r="K64" s="23" t="str">
        <x:v>Required master data and user exist.</x:v>
      </x:c>
      <x:c r="L64" s="23" t="str">
        <x:v>Use dedicated non-production test data.</x:v>
      </x:c>
      <x:c r="M64" s="23" t="str">
        <x:v>1. Sign in as Front Desk Receptionist. 2. Change identity-sensitive fields. 3. Save or submit. 4. Refresh or reopen the record. 5. Compare the result with the pass condition.</x:v>
      </x:c>
      <x:c r="N64" s="23" t="str">
        <x:v>Old/new values, actor and time are auditable.</x:v>
      </x:c>
      <x:c r="O64" s="26" t="str">
        <x:v>Not Run</x:v>
      </x:c>
      <x:c r="P64" s="26" t="str"/>
      <x:c r="Q64" s="26" t="str"/>
      <x:c r="R64" s="26" t="str"/>
      <x:c r="S64" s="26" t="str"/>
      <x:c r="T64" s="26" t="str"/>
      <x:c r="U64" s="26" t="str">
        <x:v>QA</x:v>
      </x:c>
      <x:c r="V64" s="26" t="str"/>
      <x:c r="W64" s="29" t="str"/>
      <x:c r="X64" s="26" t="str"/>
      <x:c r="Y64" s="26" t="str">
        <x:v>Not Required</x:v>
      </x:c>
      <x:c r="Z64" s="26" t="str"/>
      <x:c r="AA64" s="28" t="n">
        <x:f>IF(OR(O64="Passed",O64="Failed",O64="Blocked"),1,0)</x:f>
        <x:v>0</x:v>
      </x:c>
      <x:c r="AB64" s="28" t="n">
        <x:f>IF(O64="Passed",1,0)</x:f>
        <x:v>0</x:v>
      </x:c>
      <x:c r="AC64" s="28" t="n">
        <x:f>IF(AND(OR(R64="Critical",R64="High"),OR(O64="Failed",O64="Blocked"),S64&lt;&gt;"Closed",S64&lt;&gt;"Rejected"),1,0)</x:f>
        <x:v>0</x:v>
      </x:c>
      <x:c r="AD64" s="28" t="n">
        <x:f>IF(X64&lt;&gt;"",1,0)</x:f>
        <x:v>0</x:v>
      </x:c>
      <x:c r="AE64" s="28" t="n">
        <x:f>IF(J64&lt;&gt;"",1,0)</x:f>
        <x:v>1</x:v>
      </x:c>
    </x:row>
    <x:row r="65">
      <x:c r="A65" s="23" t="str">
        <x:v>L2-034</x:v>
      </x:c>
      <x:c r="B65" s="23" t="str">
        <x:v>Level 2</x:v>
      </x:c>
      <x:c r="C65" s="23" t="str">
        <x:v>Patients &amp; Visits</x:v>
      </x:c>
      <x:c r="D65" s="23" t="str"/>
      <x:c r="E65" s="23" t="str">
        <x:v>Pagination</x:v>
      </x:c>
      <x:c r="F65" s="23" t="str">
        <x:v>Functional</x:v>
      </x:c>
      <x:c r="G65" s="23" t="str">
        <x:v>Front Desk Receptionist</x:v>
      </x:c>
      <x:c r="H65" s="23" t="str">
        <x:v>Medium</x:v>
      </x:c>
      <x:c r="I65" s="23" t="str">
        <x:v>No</x:v>
      </x:c>
      <x:c r="J65" s="23" t="str"/>
      <x:c r="K65" s="23" t="str">
        <x:v>Required master data and user exist.</x:v>
      </x:c>
      <x:c r="L65" s="23" t="str">
        <x:v>Use dedicated non-production test data.</x:v>
      </x:c>
      <x:c r="M65" s="23" t="str">
        <x:v>1. Sign in as Front Desk Receptionist. 2. Use first, middle and last patient pages. 3. Save or submit. 4. Refresh or reopen the record. 5. Compare the result with the pass condition.</x:v>
      </x:c>
      <x:c r="N65" s="23" t="str">
        <x:v>Counts, sorting and navigation are correct.</x:v>
      </x:c>
      <x:c r="O65" s="26" t="str">
        <x:v>Not Run</x:v>
      </x:c>
      <x:c r="P65" s="26" t="str"/>
      <x:c r="Q65" s="26" t="str"/>
      <x:c r="R65" s="26" t="str"/>
      <x:c r="S65" s="26" t="str"/>
      <x:c r="T65" s="26" t="str"/>
      <x:c r="U65" s="26" t="str">
        <x:v>QA</x:v>
      </x:c>
      <x:c r="V65" s="26" t="str"/>
      <x:c r="W65" s="29" t="str"/>
      <x:c r="X65" s="26" t="str"/>
      <x:c r="Y65" s="26" t="str">
        <x:v>Not Required</x:v>
      </x:c>
      <x:c r="Z65" s="26" t="str"/>
      <x:c r="AA65" s="28" t="n">
        <x:f>IF(OR(O65="Passed",O65="Failed",O65="Blocked"),1,0)</x:f>
        <x:v>0</x:v>
      </x:c>
      <x:c r="AB65" s="28" t="n">
        <x:f>IF(O65="Passed",1,0)</x:f>
        <x:v>0</x:v>
      </x:c>
      <x:c r="AC65" s="28" t="n">
        <x:f>IF(AND(OR(R65="Critical",R65="High"),OR(O65="Failed",O65="Blocked"),S65&lt;&gt;"Closed",S65&lt;&gt;"Rejected"),1,0)</x:f>
        <x:v>0</x:v>
      </x:c>
      <x:c r="AD65" s="28" t="n">
        <x:f>IF(X65&lt;&gt;"",1,0)</x:f>
        <x:v>0</x:v>
      </x:c>
      <x:c r="AE65" s="28" t="n">
        <x:f>IF(J65&lt;&gt;"",1,0)</x:f>
        <x:v>0</x:v>
      </x:c>
    </x:row>
    <x:row r="66">
      <x:c r="A66" s="23" t="str">
        <x:v>L2-035</x:v>
      </x:c>
      <x:c r="B66" s="23" t="str">
        <x:v>Level 2</x:v>
      </x:c>
      <x:c r="C66" s="23" t="str">
        <x:v>Doctors &amp; Commission</x:v>
      </x:c>
      <x:c r="D66" s="23" t="str"/>
      <x:c r="E66" s="23" t="str">
        <x:v>Doctor required fields</x:v>
      </x:c>
      <x:c r="F66" s="23" t="str">
        <x:v>Functional</x:v>
      </x:c>
      <x:c r="G66" s="23" t="str">
        <x:v>Admin</x:v>
      </x:c>
      <x:c r="H66" s="23" t="str">
        <x:v>Medium</x:v>
      </x:c>
      <x:c r="I66" s="23" t="str">
        <x:v>No</x:v>
      </x:c>
      <x:c r="J66" s="23" t="str"/>
      <x:c r="K66" s="23" t="str">
        <x:v>Required master data and user exist.</x:v>
      </x:c>
      <x:c r="L66" s="23" t="str">
        <x:v>Use dedicated non-production test data.</x:v>
      </x:c>
      <x:c r="M66" s="23" t="str">
        <x:v>1. Sign in as Admin. 2. Submit invalid or missing doctor fields. 3. Save or submit. 4. Refresh or reopen the record. 5. Compare the result with the pass condition.</x:v>
      </x:c>
      <x:c r="N66" s="23" t="str">
        <x:v>Save is blocked with clear validation.</x:v>
      </x:c>
      <x:c r="O66" s="26" t="str">
        <x:v>Not Run</x:v>
      </x:c>
      <x:c r="P66" s="26" t="str"/>
      <x:c r="Q66" s="26" t="str"/>
      <x:c r="R66" s="26" t="str"/>
      <x:c r="S66" s="26" t="str"/>
      <x:c r="T66" s="26" t="str"/>
      <x:c r="U66" s="26" t="str">
        <x:v>QA</x:v>
      </x:c>
      <x:c r="V66" s="26" t="str"/>
      <x:c r="W66" s="29" t="str"/>
      <x:c r="X66" s="26" t="str"/>
      <x:c r="Y66" s="26" t="str">
        <x:v>Not Required</x:v>
      </x:c>
      <x:c r="Z66" s="26" t="str"/>
      <x:c r="AA66" s="28" t="n">
        <x:f>IF(OR(O66="Passed",O66="Failed",O66="Blocked"),1,0)</x:f>
        <x:v>0</x:v>
      </x:c>
      <x:c r="AB66" s="28" t="n">
        <x:f>IF(O66="Passed",1,0)</x:f>
        <x:v>0</x:v>
      </x:c>
      <x:c r="AC66" s="28" t="n">
        <x:f>IF(AND(OR(R66="Critical",R66="High"),OR(O66="Failed",O66="Blocked"),S66&lt;&gt;"Closed",S66&lt;&gt;"Rejected"),1,0)</x:f>
        <x:v>0</x:v>
      </x:c>
      <x:c r="AD66" s="28" t="n">
        <x:f>IF(X66&lt;&gt;"",1,0)</x:f>
        <x:v>0</x:v>
      </x:c>
      <x:c r="AE66" s="28" t="n">
        <x:f>IF(J66&lt;&gt;"",1,0)</x:f>
        <x:v>0</x:v>
      </x:c>
    </x:row>
    <x:row r="67">
      <x:c r="A67" s="23" t="str">
        <x:v>L2-036</x:v>
      </x:c>
      <x:c r="B67" s="23" t="str">
        <x:v>Level 2</x:v>
      </x:c>
      <x:c r="C67" s="23" t="str">
        <x:v>Doctors &amp; Commission</x:v>
      </x:c>
      <x:c r="D67" s="23" t="str"/>
      <x:c r="E67" s="23" t="str">
        <x:v>Duplicate email</x:v>
      </x:c>
      <x:c r="F67" s="23" t="str">
        <x:v>Functional</x:v>
      </x:c>
      <x:c r="G67" s="23" t="str">
        <x:v>Admin</x:v>
      </x:c>
      <x:c r="H67" s="23" t="str">
        <x:v>Medium</x:v>
      </x:c>
      <x:c r="I67" s="23" t="str">
        <x:v>No</x:v>
      </x:c>
      <x:c r="J67" s="23" t="str"/>
      <x:c r="K67" s="23" t="str">
        <x:v>Required master data and user exist.</x:v>
      </x:c>
      <x:c r="L67" s="23" t="str">
        <x:v>Use dedicated non-production test data.</x:v>
      </x:c>
      <x:c r="M67" s="23" t="str">
        <x:v>1. Sign in as Admin. 2. Create two doctors with the same email. 3. Save or submit. 4. Refresh or reopen the record. 5. Compare the result with the pass condition.</x:v>
      </x:c>
      <x:c r="N67" s="23" t="str">
        <x:v>Duplicate doctor/portal identity is blocked.</x:v>
      </x:c>
      <x:c r="O67" s="26" t="str">
        <x:v>Not Run</x:v>
      </x:c>
      <x:c r="P67" s="26" t="str"/>
      <x:c r="Q67" s="26" t="str"/>
      <x:c r="R67" s="26" t="str"/>
      <x:c r="S67" s="26" t="str"/>
      <x:c r="T67" s="26" t="str"/>
      <x:c r="U67" s="26" t="str">
        <x:v>QA</x:v>
      </x:c>
      <x:c r="V67" s="26" t="str"/>
      <x:c r="W67" s="29" t="str"/>
      <x:c r="X67" s="26" t="str"/>
      <x:c r="Y67" s="26" t="str">
        <x:v>Not Required</x:v>
      </x:c>
      <x:c r="Z67" s="26" t="str"/>
      <x:c r="AA67" s="28" t="n">
        <x:f>IF(OR(O67="Passed",O67="Failed",O67="Blocked"),1,0)</x:f>
        <x:v>0</x:v>
      </x:c>
      <x:c r="AB67" s="28" t="n">
        <x:f>IF(O67="Passed",1,0)</x:f>
        <x:v>0</x:v>
      </x:c>
      <x:c r="AC67" s="28" t="n">
        <x:f>IF(AND(OR(R67="Critical",R67="High"),OR(O67="Failed",O67="Blocked"),S67&lt;&gt;"Closed",S67&lt;&gt;"Rejected"),1,0)</x:f>
        <x:v>0</x:v>
      </x:c>
      <x:c r="AD67" s="28" t="n">
        <x:f>IF(X67&lt;&gt;"",1,0)</x:f>
        <x:v>0</x:v>
      </x:c>
      <x:c r="AE67" s="28" t="n">
        <x:f>IF(J67&lt;&gt;"",1,0)</x:f>
        <x:v>0</x:v>
      </x:c>
    </x:row>
    <x:row r="68">
      <x:c r="A68" s="23" t="str">
        <x:v>L2-037</x:v>
      </x:c>
      <x:c r="B68" s="23" t="str">
        <x:v>Level 2</x:v>
      </x:c>
      <x:c r="C68" s="23" t="str">
        <x:v>Doctors &amp; Commission</x:v>
      </x:c>
      <x:c r="D68" s="23" t="str"/>
      <x:c r="E68" s="23" t="str">
        <x:v>Invitation activation</x:v>
      </x:c>
      <x:c r="F68" s="23" t="str">
        <x:v>Functional</x:v>
      </x:c>
      <x:c r="G68" s="23" t="str">
        <x:v>Admin</x:v>
      </x:c>
      <x:c r="H68" s="23" t="str">
        <x:v>Medium</x:v>
      </x:c>
      <x:c r="I68" s="23" t="str">
        <x:v>No</x:v>
      </x:c>
      <x:c r="J68" s="23" t="str"/>
      <x:c r="K68" s="23" t="str">
        <x:v>Required master data and user exist.</x:v>
      </x:c>
      <x:c r="L68" s="23" t="str">
        <x:v>Use dedicated non-production test data.</x:v>
      </x:c>
      <x:c r="M68" s="23" t="str">
        <x:v>1. Sign in as Admin. 2. Use a valid doctor invitation OTP. 3. Save or submit. 4. Refresh or reopen the record. 5. Compare the result with the pass condition.</x:v>
      </x:c>
      <x:c r="N68" s="23" t="str">
        <x:v>The account activates once and can sign in.</x:v>
      </x:c>
      <x:c r="O68" s="26" t="str">
        <x:v>Not Run</x:v>
      </x:c>
      <x:c r="P68" s="26" t="str"/>
      <x:c r="Q68" s="26" t="str"/>
      <x:c r="R68" s="26" t="str"/>
      <x:c r="S68" s="26" t="str"/>
      <x:c r="T68" s="26" t="str"/>
      <x:c r="U68" s="26" t="str">
        <x:v>QA</x:v>
      </x:c>
      <x:c r="V68" s="26" t="str"/>
      <x:c r="W68" s="29" t="str"/>
      <x:c r="X68" s="26" t="str"/>
      <x:c r="Y68" s="26" t="str">
        <x:v>Not Required</x:v>
      </x:c>
      <x:c r="Z68" s="26" t="str"/>
      <x:c r="AA68" s="28" t="n">
        <x:f>IF(OR(O68="Passed",O68="Failed",O68="Blocked"),1,0)</x:f>
        <x:v>0</x:v>
      </x:c>
      <x:c r="AB68" s="28" t="n">
        <x:f>IF(O68="Passed",1,0)</x:f>
        <x:v>0</x:v>
      </x:c>
      <x:c r="AC68" s="28" t="n">
        <x:f>IF(AND(OR(R68="Critical",R68="High"),OR(O68="Failed",O68="Blocked"),S68&lt;&gt;"Closed",S68&lt;&gt;"Rejected"),1,0)</x:f>
        <x:v>0</x:v>
      </x:c>
      <x:c r="AD68" s="28" t="n">
        <x:f>IF(X68&lt;&gt;"",1,0)</x:f>
        <x:v>0</x:v>
      </x:c>
      <x:c r="AE68" s="28" t="n">
        <x:f>IF(J68&lt;&gt;"",1,0)</x:f>
        <x:v>0</x:v>
      </x:c>
    </x:row>
    <x:row r="69">
      <x:c r="A69" s="23" t="str">
        <x:v>L2-038</x:v>
      </x:c>
      <x:c r="B69" s="23" t="str">
        <x:v>Level 2</x:v>
      </x:c>
      <x:c r="C69" s="23" t="str">
        <x:v>Doctors &amp; Commission</x:v>
      </x:c>
      <x:c r="D69" s="23" t="str"/>
      <x:c r="E69" s="23" t="str">
        <x:v>Expired invitation</x:v>
      </x:c>
      <x:c r="F69" s="23" t="str">
        <x:v>Functional</x:v>
      </x:c>
      <x:c r="G69" s="23" t="str">
        <x:v>Admin</x:v>
      </x:c>
      <x:c r="H69" s="23" t="str">
        <x:v>Medium</x:v>
      </x:c>
      <x:c r="I69" s="23" t="str">
        <x:v>No</x:v>
      </x:c>
      <x:c r="J69" s="23" t="str"/>
      <x:c r="K69" s="23" t="str">
        <x:v>Required master data and user exist.</x:v>
      </x:c>
      <x:c r="L69" s="23" t="str">
        <x:v>Use dedicated non-production test data.</x:v>
      </x:c>
      <x:c r="M69" s="23" t="str">
        <x:v>1. Sign in as Admin. 2. Use an expired invitation. 3. Save or submit. 4. Refresh or reopen the record. 5. Compare the result with the pass condition.</x:v>
      </x:c>
      <x:c r="N69" s="23" t="str">
        <x:v>Activation is denied.</x:v>
      </x:c>
      <x:c r="O69" s="26" t="str">
        <x:v>Not Run</x:v>
      </x:c>
      <x:c r="P69" s="26" t="str"/>
      <x:c r="Q69" s="26" t="str"/>
      <x:c r="R69" s="26" t="str"/>
      <x:c r="S69" s="26" t="str"/>
      <x:c r="T69" s="26" t="str"/>
      <x:c r="U69" s="26" t="str">
        <x:v>QA</x:v>
      </x:c>
      <x:c r="V69" s="26" t="str"/>
      <x:c r="W69" s="29" t="str"/>
      <x:c r="X69" s="26" t="str"/>
      <x:c r="Y69" s="26" t="str">
        <x:v>Not Required</x:v>
      </x:c>
      <x:c r="Z69" s="26" t="str"/>
      <x:c r="AA69" s="28" t="n">
        <x:f>IF(OR(O69="Passed",O69="Failed",O69="Blocked"),1,0)</x:f>
        <x:v>0</x:v>
      </x:c>
      <x:c r="AB69" s="28" t="n">
        <x:f>IF(O69="Passed",1,0)</x:f>
        <x:v>0</x:v>
      </x:c>
      <x:c r="AC69" s="28" t="n">
        <x:f>IF(AND(OR(R69="Critical",R69="High"),OR(O69="Failed",O69="Blocked"),S69&lt;&gt;"Closed",S69&lt;&gt;"Rejected"),1,0)</x:f>
        <x:v>0</x:v>
      </x:c>
      <x:c r="AD69" s="28" t="n">
        <x:f>IF(X69&lt;&gt;"",1,0)</x:f>
        <x:v>0</x:v>
      </x:c>
      <x:c r="AE69" s="28" t="n">
        <x:f>IF(J69&lt;&gt;"",1,0)</x:f>
        <x:v>0</x:v>
      </x:c>
    </x:row>
    <x:row r="70">
      <x:c r="A70" s="23" t="str">
        <x:v>L2-039</x:v>
      </x:c>
      <x:c r="B70" s="23" t="str">
        <x:v>Level 2</x:v>
      </x:c>
      <x:c r="C70" s="23" t="str">
        <x:v>Doctors &amp; Commission</x:v>
      </x:c>
      <x:c r="D70" s="23" t="str"/>
      <x:c r="E70" s="23" t="str">
        <x:v>Resend invitation</x:v>
      </x:c>
      <x:c r="F70" s="23" t="str">
        <x:v>Functional</x:v>
      </x:c>
      <x:c r="G70" s="23" t="str">
        <x:v>Admin</x:v>
      </x:c>
      <x:c r="H70" s="23" t="str">
        <x:v>Medium</x:v>
      </x:c>
      <x:c r="I70" s="23" t="str">
        <x:v>No</x:v>
      </x:c>
      <x:c r="J70" s="23" t="str"/>
      <x:c r="K70" s="23" t="str">
        <x:v>Required master data and user exist.</x:v>
      </x:c>
      <x:c r="L70" s="23" t="str">
        <x:v>Use dedicated non-production test data.</x:v>
      </x:c>
      <x:c r="M70" s="23" t="str">
        <x:v>1. Sign in as Admin. 2. Resend and try old and new OTPs. 3. Save or submit. 4. Refresh or reopen the record. 5. Compare the result with the pass condition.</x:v>
      </x:c>
      <x:c r="N70" s="23" t="str">
        <x:v>Only the latest OTP works.</x:v>
      </x:c>
      <x:c r="O70" s="26" t="str">
        <x:v>Not Run</x:v>
      </x:c>
      <x:c r="P70" s="26" t="str"/>
      <x:c r="Q70" s="26" t="str"/>
      <x:c r="R70" s="26" t="str"/>
      <x:c r="S70" s="26" t="str"/>
      <x:c r="T70" s="26" t="str"/>
      <x:c r="U70" s="26" t="str">
        <x:v>QA</x:v>
      </x:c>
      <x:c r="V70" s="26" t="str"/>
      <x:c r="W70" s="29" t="str"/>
      <x:c r="X70" s="26" t="str"/>
      <x:c r="Y70" s="26" t="str">
        <x:v>Not Required</x:v>
      </x:c>
      <x:c r="Z70" s="26" t="str"/>
      <x:c r="AA70" s="28" t="n">
        <x:f>IF(OR(O70="Passed",O70="Failed",O70="Blocked"),1,0)</x:f>
        <x:v>0</x:v>
      </x:c>
      <x:c r="AB70" s="28" t="n">
        <x:f>IF(O70="Passed",1,0)</x:f>
        <x:v>0</x:v>
      </x:c>
      <x:c r="AC70" s="28" t="n">
        <x:f>IF(AND(OR(R70="Critical",R70="High"),OR(O70="Failed",O70="Blocked"),S70&lt;&gt;"Closed",S70&lt;&gt;"Rejected"),1,0)</x:f>
        <x:v>0</x:v>
      </x:c>
      <x:c r="AD70" s="28" t="n">
        <x:f>IF(X70&lt;&gt;"",1,0)</x:f>
        <x:v>0</x:v>
      </x:c>
      <x:c r="AE70" s="28" t="n">
        <x:f>IF(J70&lt;&gt;"",1,0)</x:f>
        <x:v>0</x:v>
      </x:c>
    </x:row>
    <x:row r="71">
      <x:c r="A71" s="23" t="str">
        <x:v>L2-040</x:v>
      </x:c>
      <x:c r="B71" s="23" t="str">
        <x:v>Level 2</x:v>
      </x:c>
      <x:c r="C71" s="23" t="str">
        <x:v>Doctors &amp; Commission</x:v>
      </x:c>
      <x:c r="D71" s="23" t="str"/>
      <x:c r="E71" s="23" t="str">
        <x:v>Inactive doctor billing</x:v>
      </x:c>
      <x:c r="F71" s="23" t="str">
        <x:v>Functional</x:v>
      </x:c>
      <x:c r="G71" s="23" t="str">
        <x:v>Admin</x:v>
      </x:c>
      <x:c r="H71" s="23" t="str">
        <x:v>Medium</x:v>
      </x:c>
      <x:c r="I71" s="23" t="str">
        <x:v>No</x:v>
      </x:c>
      <x:c r="J71" s="23" t="str"/>
      <x:c r="K71" s="23" t="str">
        <x:v>Required master data and user exist.</x:v>
      </x:c>
      <x:c r="L71" s="23" t="str">
        <x:v>Use dedicated non-production test data.</x:v>
      </x:c>
      <x:c r="M71" s="23" t="str">
        <x:v>1. Sign in as Admin. 2. Select an inactive referral doctor. 3. Save or submit. 4. Refresh or reopen the record. 5. Compare the result with the pass condition.</x:v>
      </x:c>
      <x:c r="N71" s="23" t="str">
        <x:v>New billing is blocked.</x:v>
      </x:c>
      <x:c r="O71" s="26" t="str">
        <x:v>Not Run</x:v>
      </x:c>
      <x:c r="P71" s="26" t="str"/>
      <x:c r="Q71" s="26" t="str"/>
      <x:c r="R71" s="26" t="str"/>
      <x:c r="S71" s="26" t="str"/>
      <x:c r="T71" s="26" t="str"/>
      <x:c r="U71" s="26" t="str">
        <x:v>QA</x:v>
      </x:c>
      <x:c r="V71" s="26" t="str"/>
      <x:c r="W71" s="29" t="str"/>
      <x:c r="X71" s="26" t="str"/>
      <x:c r="Y71" s="26" t="str">
        <x:v>Not Required</x:v>
      </x:c>
      <x:c r="Z71" s="26" t="str"/>
      <x:c r="AA71" s="28" t="n">
        <x:f>IF(OR(O71="Passed",O71="Failed",O71="Blocked"),1,0)</x:f>
        <x:v>0</x:v>
      </x:c>
      <x:c r="AB71" s="28" t="n">
        <x:f>IF(O71="Passed",1,0)</x:f>
        <x:v>0</x:v>
      </x:c>
      <x:c r="AC71" s="28" t="n">
        <x:f>IF(AND(OR(R71="Critical",R71="High"),OR(O71="Failed",O71="Blocked"),S71&lt;&gt;"Closed",S71&lt;&gt;"Rejected"),1,0)</x:f>
        <x:v>0</x:v>
      </x:c>
      <x:c r="AD71" s="28" t="n">
        <x:f>IF(X71&lt;&gt;"",1,0)</x:f>
        <x:v>0</x:v>
      </x:c>
      <x:c r="AE71" s="28" t="n">
        <x:f>IF(J71&lt;&gt;"",1,0)</x:f>
        <x:v>0</x:v>
      </x:c>
    </x:row>
    <x:row r="72">
      <x:c r="A72" s="23" t="str">
        <x:v>L2-041</x:v>
      </x:c>
      <x:c r="B72" s="23" t="str">
        <x:v>Level 2</x:v>
      </x:c>
      <x:c r="C72" s="23" t="str">
        <x:v>Doctors &amp; Commission</x:v>
      </x:c>
      <x:c r="D72" s="23" t="str"/>
      <x:c r="E72" s="23" t="str">
        <x:v>Inactive doctor login</x:v>
      </x:c>
      <x:c r="F72" s="23" t="str">
        <x:v>Functional</x:v>
      </x:c>
      <x:c r="G72" s="23" t="str">
        <x:v>Admin</x:v>
      </x:c>
      <x:c r="H72" s="23" t="str">
        <x:v>Medium</x:v>
      </x:c>
      <x:c r="I72" s="23" t="str">
        <x:v>No</x:v>
      </x:c>
      <x:c r="J72" s="23" t="str"/>
      <x:c r="K72" s="23" t="str">
        <x:v>Required master data and user exist.</x:v>
      </x:c>
      <x:c r="L72" s="23" t="str">
        <x:v>Use dedicated non-production test data.</x:v>
      </x:c>
      <x:c r="M72" s="23" t="str">
        <x:v>1. Sign in as Admin. 2. Deactivate a doctor with an active user. 3. Save or submit. 4. Refresh or reopen the record. 5. Compare the result with the pass condition.</x:v>
      </x:c>
      <x:c r="N72" s="23" t="str">
        <x:v>Portal login is denied.</x:v>
      </x:c>
      <x:c r="O72" s="26" t="str">
        <x:v>Not Run</x:v>
      </x:c>
      <x:c r="P72" s="26" t="str"/>
      <x:c r="Q72" s="26" t="str"/>
      <x:c r="R72" s="26" t="str"/>
      <x:c r="S72" s="26" t="str"/>
      <x:c r="T72" s="26" t="str"/>
      <x:c r="U72" s="26" t="str">
        <x:v>QA</x:v>
      </x:c>
      <x:c r="V72" s="26" t="str"/>
      <x:c r="W72" s="29" t="str"/>
      <x:c r="X72" s="26" t="str"/>
      <x:c r="Y72" s="26" t="str">
        <x:v>Not Required</x:v>
      </x:c>
      <x:c r="Z72" s="26" t="str"/>
      <x:c r="AA72" s="28" t="n">
        <x:f>IF(OR(O72="Passed",O72="Failed",O72="Blocked"),1,0)</x:f>
        <x:v>0</x:v>
      </x:c>
      <x:c r="AB72" s="28" t="n">
        <x:f>IF(O72="Passed",1,0)</x:f>
        <x:v>0</x:v>
      </x:c>
      <x:c r="AC72" s="28" t="n">
        <x:f>IF(AND(OR(R72="Critical",R72="High"),OR(O72="Failed",O72="Blocked"),S72&lt;&gt;"Closed",S72&lt;&gt;"Rejected"),1,0)</x:f>
        <x:v>0</x:v>
      </x:c>
      <x:c r="AD72" s="28" t="n">
        <x:f>IF(X72&lt;&gt;"",1,0)</x:f>
        <x:v>0</x:v>
      </x:c>
      <x:c r="AE72" s="28" t="n">
        <x:f>IF(J72&lt;&gt;"",1,0)</x:f>
        <x:v>0</x:v>
      </x:c>
    </x:row>
    <x:row r="73">
      <x:c r="A73" s="23" t="str">
        <x:v>L2-042</x:v>
      </x:c>
      <x:c r="B73" s="23" t="str">
        <x:v>Level 2</x:v>
      </x:c>
      <x:c r="C73" s="23" t="str">
        <x:v>Doctors &amp; Commission</x:v>
      </x:c>
      <x:c r="D73" s="23" t="str"/>
      <x:c r="E73" s="23" t="str">
        <x:v>Historical commission</x:v>
      </x:c>
      <x:c r="F73" s="23" t="str">
        <x:v>Functional</x:v>
      </x:c>
      <x:c r="G73" s="23" t="str">
        <x:v>Admin</x:v>
      </x:c>
      <x:c r="H73" s="23" t="str">
        <x:v>Medium</x:v>
      </x:c>
      <x:c r="I73" s="23" t="str">
        <x:v>No</x:v>
      </x:c>
      <x:c r="J73" s="23" t="str"/>
      <x:c r="K73" s="23" t="str">
        <x:v>Required master data and user exist.</x:v>
      </x:c>
      <x:c r="L73" s="23" t="str">
        <x:v>Use dedicated non-production test data.</x:v>
      </x:c>
      <x:c r="M73" s="23" t="str">
        <x:v>1. Sign in as Admin. 2. Change doctor rate after an old bill. 3. Save or submit. 4. Refresh or reopen the record. 5. Compare the result with the pass condition.</x:v>
      </x:c>
      <x:c r="N73" s="23" t="str">
        <x:v>Old commission does not change.</x:v>
      </x:c>
      <x:c r="O73" s="26" t="str">
        <x:v>Not Run</x:v>
      </x:c>
      <x:c r="P73" s="26" t="str"/>
      <x:c r="Q73" s="26" t="str"/>
      <x:c r="R73" s="26" t="str"/>
      <x:c r="S73" s="26" t="str"/>
      <x:c r="T73" s="26" t="str"/>
      <x:c r="U73" s="26" t="str">
        <x:v>QA</x:v>
      </x:c>
      <x:c r="V73" s="26" t="str"/>
      <x:c r="W73" s="29" t="str"/>
      <x:c r="X73" s="26" t="str"/>
      <x:c r="Y73" s="26" t="str">
        <x:v>Not Required</x:v>
      </x:c>
      <x:c r="Z73" s="26" t="str"/>
      <x:c r="AA73" s="28" t="n">
        <x:f>IF(OR(O73="Passed",O73="Failed",O73="Blocked"),1,0)</x:f>
        <x:v>0</x:v>
      </x:c>
      <x:c r="AB73" s="28" t="n">
        <x:f>IF(O73="Passed",1,0)</x:f>
        <x:v>0</x:v>
      </x:c>
      <x:c r="AC73" s="28" t="n">
        <x:f>IF(AND(OR(R73="Critical",R73="High"),OR(O73="Failed",O73="Blocked"),S73&lt;&gt;"Closed",S73&lt;&gt;"Rejected"),1,0)</x:f>
        <x:v>0</x:v>
      </x:c>
      <x:c r="AD73" s="28" t="n">
        <x:f>IF(X73&lt;&gt;"",1,0)</x:f>
        <x:v>0</x:v>
      </x:c>
      <x:c r="AE73" s="28" t="n">
        <x:f>IF(J73&lt;&gt;"",1,0)</x:f>
        <x:v>0</x:v>
      </x:c>
    </x:row>
    <x:row r="74">
      <x:c r="A74" s="23" t="str">
        <x:v>L2-043</x:v>
      </x:c>
      <x:c r="B74" s="23" t="str">
        <x:v>Level 2</x:v>
      </x:c>
      <x:c r="C74" s="23" t="str">
        <x:v>Doctors &amp; Commission</x:v>
      </x:c>
      <x:c r="D74" s="23" t="str"/>
      <x:c r="E74" s="23" t="str">
        <x:v>Commission eligibility</x:v>
      </x:c>
      <x:c r="F74" s="23" t="str">
        <x:v>Functional</x:v>
      </x:c>
      <x:c r="G74" s="23" t="str">
        <x:v>Admin</x:v>
      </x:c>
      <x:c r="H74" s="23" t="str">
        <x:v>Medium</x:v>
      </x:c>
      <x:c r="I74" s="23" t="str">
        <x:v>No</x:v>
      </x:c>
      <x:c r="J74" s="23" t="str"/>
      <x:c r="K74" s="23" t="str">
        <x:v>Required master data and user exist.</x:v>
      </x:c>
      <x:c r="L74" s="23" t="str">
        <x:v>Use dedicated non-production test data.</x:v>
      </x:c>
      <x:c r="M74" s="23" t="str">
        <x:v>1. Sign in as Admin. 2. Compare unpaid, partial and paid referrals. 3. Save or submit. 4. Refresh or reopen the record. 5. Compare the result with the pass condition.</x:v>
      </x:c>
      <x:c r="N74" s="23" t="str">
        <x:v>Estimated and earned commission follow policy.</x:v>
      </x:c>
      <x:c r="O74" s="26" t="str">
        <x:v>Not Run</x:v>
      </x:c>
      <x:c r="P74" s="26" t="str"/>
      <x:c r="Q74" s="26" t="str"/>
      <x:c r="R74" s="26" t="str"/>
      <x:c r="S74" s="26" t="str"/>
      <x:c r="T74" s="26" t="str"/>
      <x:c r="U74" s="26" t="str">
        <x:v>QA</x:v>
      </x:c>
      <x:c r="V74" s="26" t="str"/>
      <x:c r="W74" s="29" t="str"/>
      <x:c r="X74" s="26" t="str"/>
      <x:c r="Y74" s="26" t="str">
        <x:v>Not Required</x:v>
      </x:c>
      <x:c r="Z74" s="26" t="str"/>
      <x:c r="AA74" s="28" t="n">
        <x:f>IF(OR(O74="Passed",O74="Failed",O74="Blocked"),1,0)</x:f>
        <x:v>0</x:v>
      </x:c>
      <x:c r="AB74" s="28" t="n">
        <x:f>IF(O74="Passed",1,0)</x:f>
        <x:v>0</x:v>
      </x:c>
      <x:c r="AC74" s="28" t="n">
        <x:f>IF(AND(OR(R74="Critical",R74="High"),OR(O74="Failed",O74="Blocked"),S74&lt;&gt;"Closed",S74&lt;&gt;"Rejected"),1,0)</x:f>
        <x:v>0</x:v>
      </x:c>
      <x:c r="AD74" s="28" t="n">
        <x:f>IF(X74&lt;&gt;"",1,0)</x:f>
        <x:v>0</x:v>
      </x:c>
      <x:c r="AE74" s="28" t="n">
        <x:f>IF(J74&lt;&gt;"",1,0)</x:f>
        <x:v>0</x:v>
      </x:c>
    </x:row>
    <x:row r="75">
      <x:c r="A75" s="23" t="str">
        <x:v>L2-044</x:v>
      </x:c>
      <x:c r="B75" s="23" t="str">
        <x:v>Level 2</x:v>
      </x:c>
      <x:c r="C75" s="23" t="str">
        <x:v>Doctors &amp; Commission</x:v>
      </x:c>
      <x:c r="D75" s="23" t="str"/>
      <x:c r="E75" s="23" t="str">
        <x:v>Payout approval</x:v>
      </x:c>
      <x:c r="F75" s="23" t="str">
        <x:v>Functional</x:v>
      </x:c>
      <x:c r="G75" s="23" t="str">
        <x:v>Admin</x:v>
      </x:c>
      <x:c r="H75" s="23" t="str">
        <x:v>High</x:v>
      </x:c>
      <x:c r="I75" s="23" t="str">
        <x:v>No</x:v>
      </x:c>
      <x:c r="J75" s="23" t="str">
        <x:v>Commission approval workflow</x:v>
      </x:c>
      <x:c r="K75" s="23" t="str">
        <x:v>Required master data and user exist.</x:v>
      </x:c>
      <x:c r="L75" s="23" t="str">
        <x:v>Use dedicated non-production test data.</x:v>
      </x:c>
      <x:c r="M75" s="23" t="str">
        <x:v>1. Sign in as Admin. 2. Create and release a payout. 3. Save or submit. 4. Refresh or reopen the record. 5. Compare the result with the pass condition.</x:v>
      </x:c>
      <x:c r="N75" s="23" t="str">
        <x:v>Only authorized staff can approve and the action is auditable.</x:v>
      </x:c>
      <x:c r="O75" s="26" t="str">
        <x:v>Not Run</x:v>
      </x:c>
      <x:c r="P75" s="26" t="str"/>
      <x:c r="Q75" s="26" t="str"/>
      <x:c r="R75" s="26" t="str"/>
      <x:c r="S75" s="26" t="str"/>
      <x:c r="T75" s="26" t="str"/>
      <x:c r="U75" s="26" t="str">
        <x:v>QA</x:v>
      </x:c>
      <x:c r="V75" s="26" t="str"/>
      <x:c r="W75" s="29" t="str"/>
      <x:c r="X75" s="26" t="str"/>
      <x:c r="Y75" s="26" t="str">
        <x:v>Not Required</x:v>
      </x:c>
      <x:c r="Z75" s="26" t="str"/>
      <x:c r="AA75" s="28" t="n">
        <x:f>IF(OR(O75="Passed",O75="Failed",O75="Blocked"),1,0)</x:f>
        <x:v>0</x:v>
      </x:c>
      <x:c r="AB75" s="28" t="n">
        <x:f>IF(O75="Passed",1,0)</x:f>
        <x:v>0</x:v>
      </x:c>
      <x:c r="AC75" s="28" t="n">
        <x:f>IF(AND(OR(R75="Critical",R75="High"),OR(O75="Failed",O75="Blocked"),S75&lt;&gt;"Closed",S75&lt;&gt;"Rejected"),1,0)</x:f>
        <x:v>0</x:v>
      </x:c>
      <x:c r="AD75" s="28" t="n">
        <x:f>IF(X75&lt;&gt;"",1,0)</x:f>
        <x:v>0</x:v>
      </x:c>
      <x:c r="AE75" s="28" t="n">
        <x:f>IF(J75&lt;&gt;"",1,0)</x:f>
        <x:v>1</x:v>
      </x:c>
    </x:row>
    <x:row r="76">
      <x:c r="A76" s="23" t="str">
        <x:v>L2-045</x:v>
      </x:c>
      <x:c r="B76" s="23" t="str">
        <x:v>Level 2</x:v>
      </x:c>
      <x:c r="C76" s="23" t="str">
        <x:v>Doctors &amp; Commission</x:v>
      </x:c>
      <x:c r="D76" s="23" t="str"/>
      <x:c r="E76" s="23" t="str">
        <x:v>Payout history</x:v>
      </x:c>
      <x:c r="F76" s="23" t="str">
        <x:v>Functional</x:v>
      </x:c>
      <x:c r="G76" s="23" t="str">
        <x:v>Admin</x:v>
      </x:c>
      <x:c r="H76" s="23" t="str">
        <x:v>Medium</x:v>
      </x:c>
      <x:c r="I76" s="23" t="str">
        <x:v>No</x:v>
      </x:c>
      <x:c r="J76" s="23" t="str">
        <x:v>Detailed payout statement/history</x:v>
      </x:c>
      <x:c r="K76" s="23" t="str">
        <x:v>Required master data and user exist.</x:v>
      </x:c>
      <x:c r="L76" s="23" t="str">
        <x:v>Use dedicated non-production test data.</x:v>
      </x:c>
      <x:c r="M76" s="23" t="str">
        <x:v>1. Sign in as Admin. 2. Open completed payout history. 3. Save or submit. 4. Refresh or reopen the record. 5. Compare the result with the pass condition.</x:v>
      </x:c>
      <x:c r="N76" s="23" t="str">
        <x:v>Doctor-wise statement and references are complete.</x:v>
      </x:c>
      <x:c r="O76" s="26" t="str">
        <x:v>Not Run</x:v>
      </x:c>
      <x:c r="P76" s="26" t="str"/>
      <x:c r="Q76" s="26" t="str"/>
      <x:c r="R76" s="26" t="str"/>
      <x:c r="S76" s="26" t="str"/>
      <x:c r="T76" s="26" t="str"/>
      <x:c r="U76" s="26" t="str">
        <x:v>QA</x:v>
      </x:c>
      <x:c r="V76" s="26" t="str"/>
      <x:c r="W76" s="29" t="str"/>
      <x:c r="X76" s="26" t="str"/>
      <x:c r="Y76" s="26" t="str">
        <x:v>Not Required</x:v>
      </x:c>
      <x:c r="Z76" s="26" t="str"/>
      <x:c r="AA76" s="28" t="n">
        <x:f>IF(OR(O76="Passed",O76="Failed",O76="Blocked"),1,0)</x:f>
        <x:v>0</x:v>
      </x:c>
      <x:c r="AB76" s="28" t="n">
        <x:f>IF(O76="Passed",1,0)</x:f>
        <x:v>0</x:v>
      </x:c>
      <x:c r="AC76" s="28" t="n">
        <x:f>IF(AND(OR(R76="Critical",R76="High"),OR(O76="Failed",O76="Blocked"),S76&lt;&gt;"Closed",S76&lt;&gt;"Rejected"),1,0)</x:f>
        <x:v>0</x:v>
      </x:c>
      <x:c r="AD76" s="28" t="n">
        <x:f>IF(X76&lt;&gt;"",1,0)</x:f>
        <x:v>0</x:v>
      </x:c>
      <x:c r="AE76" s="28" t="n">
        <x:f>IF(J76&lt;&gt;"",1,0)</x:f>
        <x:v>1</x:v>
      </x:c>
    </x:row>
    <x:row r="77">
      <x:c r="A77" s="23" t="str">
        <x:v>L2-046</x:v>
      </x:c>
      <x:c r="B77" s="23" t="str">
        <x:v>Level 2</x:v>
      </x:c>
      <x:c r="C77" s="23" t="str">
        <x:v>Doctors &amp; Commission</x:v>
      </x:c>
      <x:c r="D77" s="23" t="str"/>
      <x:c r="E77" s="23" t="str">
        <x:v>Doctor delete protection</x:v>
      </x:c>
      <x:c r="F77" s="23" t="str">
        <x:v>Functional</x:v>
      </x:c>
      <x:c r="G77" s="23" t="str">
        <x:v>Admin</x:v>
      </x:c>
      <x:c r="H77" s="23" t="str">
        <x:v>Medium</x:v>
      </x:c>
      <x:c r="I77" s="23" t="str">
        <x:v>No</x:v>
      </x:c>
      <x:c r="J77" s="23" t="str">
        <x:v>Doctor soft delete and linked-record protection</x:v>
      </x:c>
      <x:c r="K77" s="23" t="str">
        <x:v>Required master data and user exist.</x:v>
      </x:c>
      <x:c r="L77" s="23" t="str">
        <x:v>Use dedicated non-production test data.</x:v>
      </x:c>
      <x:c r="M77" s="23" t="str">
        <x:v>1. Sign in as Admin. 2. Try to delete a doctor with referrals. 3. Save or submit. 4. Refresh or reopen the record. 5. Compare the result with the pass condition.</x:v>
      </x:c>
      <x:c r="N77" s="23" t="str">
        <x:v>Deletion is blocked or safely archived.</x:v>
      </x:c>
      <x:c r="O77" s="26" t="str">
        <x:v>Not Run</x:v>
      </x:c>
      <x:c r="P77" s="26" t="str"/>
      <x:c r="Q77" s="26" t="str"/>
      <x:c r="R77" s="26" t="str"/>
      <x:c r="S77" s="26" t="str"/>
      <x:c r="T77" s="26" t="str"/>
      <x:c r="U77" s="26" t="str">
        <x:v>QA</x:v>
      </x:c>
      <x:c r="V77" s="26" t="str"/>
      <x:c r="W77" s="29" t="str"/>
      <x:c r="X77" s="26" t="str"/>
      <x:c r="Y77" s="26" t="str">
        <x:v>Not Required</x:v>
      </x:c>
      <x:c r="Z77" s="26" t="str"/>
      <x:c r="AA77" s="28" t="n">
        <x:f>IF(OR(O77="Passed",O77="Failed",O77="Blocked"),1,0)</x:f>
        <x:v>0</x:v>
      </x:c>
      <x:c r="AB77" s="28" t="n">
        <x:f>IF(O77="Passed",1,0)</x:f>
        <x:v>0</x:v>
      </x:c>
      <x:c r="AC77" s="28" t="n">
        <x:f>IF(AND(OR(R77="Critical",R77="High"),OR(O77="Failed",O77="Blocked"),S77&lt;&gt;"Closed",S77&lt;&gt;"Rejected"),1,0)</x:f>
        <x:v>0</x:v>
      </x:c>
      <x:c r="AD77" s="28" t="n">
        <x:f>IF(X77&lt;&gt;"",1,0)</x:f>
        <x:v>0</x:v>
      </x:c>
      <x:c r="AE77" s="28" t="n">
        <x:f>IF(J77&lt;&gt;"",1,0)</x:f>
        <x:v>1</x:v>
      </x:c>
    </x:row>
    <x:row r="78">
      <x:c r="A78" s="23" t="str">
        <x:v>L2-047</x:v>
      </x:c>
      <x:c r="B78" s="23" t="str">
        <x:v>Level 2</x:v>
      </x:c>
      <x:c r="C78" s="23" t="str">
        <x:v>Test Master</x:v>
      </x:c>
      <x:c r="D78" s="23" t="str"/>
      <x:c r="E78" s="23" t="str">
        <x:v>Category duplicate</x:v>
      </x:c>
      <x:c r="F78" s="23" t="str">
        <x:v>Functional</x:v>
      </x:c>
      <x:c r="G78" s="23" t="str">
        <x:v>Lab Manager</x:v>
      </x:c>
      <x:c r="H78" s="23" t="str">
        <x:v>Medium</x:v>
      </x:c>
      <x:c r="I78" s="23" t="str">
        <x:v>No</x:v>
      </x:c>
      <x:c r="J78" s="23" t="str"/>
      <x:c r="K78" s="23" t="str">
        <x:v>Required master data and user exist.</x:v>
      </x:c>
      <x:c r="L78" s="23" t="str">
        <x:v>Use dedicated non-production test data.</x:v>
      </x:c>
      <x:c r="M78" s="23" t="str">
        <x:v>1. Sign in as Lab Manager. 2. Create a duplicate category. 3. Save or submit. 4. Refresh or reopen the record. 5. Compare the result with the pass condition.</x:v>
      </x:c>
      <x:c r="N78" s="23" t="str">
        <x:v>Duplicate is blocked.</x:v>
      </x:c>
      <x:c r="O78" s="26" t="str">
        <x:v>Not Run</x:v>
      </x:c>
      <x:c r="P78" s="26" t="str"/>
      <x:c r="Q78" s="26" t="str"/>
      <x:c r="R78" s="26" t="str"/>
      <x:c r="S78" s="26" t="str"/>
      <x:c r="T78" s="26" t="str"/>
      <x:c r="U78" s="26" t="str">
        <x:v>QA</x:v>
      </x:c>
      <x:c r="V78" s="26" t="str"/>
      <x:c r="W78" s="29" t="str"/>
      <x:c r="X78" s="26" t="str"/>
      <x:c r="Y78" s="26" t="str">
        <x:v>Not Required</x:v>
      </x:c>
      <x:c r="Z78" s="26" t="str"/>
      <x:c r="AA78" s="28" t="n">
        <x:f>IF(OR(O78="Passed",O78="Failed",O78="Blocked"),1,0)</x:f>
        <x:v>0</x:v>
      </x:c>
      <x:c r="AB78" s="28" t="n">
        <x:f>IF(O78="Passed",1,0)</x:f>
        <x:v>0</x:v>
      </x:c>
      <x:c r="AC78" s="28" t="n">
        <x:f>IF(AND(OR(R78="Critical",R78="High"),OR(O78="Failed",O78="Blocked"),S78&lt;&gt;"Closed",S78&lt;&gt;"Rejected"),1,0)</x:f>
        <x:v>0</x:v>
      </x:c>
      <x:c r="AD78" s="28" t="n">
        <x:f>IF(X78&lt;&gt;"",1,0)</x:f>
        <x:v>0</x:v>
      </x:c>
      <x:c r="AE78" s="28" t="n">
        <x:f>IF(J78&lt;&gt;"",1,0)</x:f>
        <x:v>0</x:v>
      </x:c>
    </x:row>
    <x:row r="79">
      <x:c r="A79" s="23" t="str">
        <x:v>L2-048</x:v>
      </x:c>
      <x:c r="B79" s="23" t="str">
        <x:v>Level 2</x:v>
      </x:c>
      <x:c r="C79" s="23" t="str">
        <x:v>Test Master</x:v>
      </x:c>
      <x:c r="D79" s="23" t="str"/>
      <x:c r="E79" s="23" t="str">
        <x:v>Test code duplicate</x:v>
      </x:c>
      <x:c r="F79" s="23" t="str">
        <x:v>Functional</x:v>
      </x:c>
      <x:c r="G79" s="23" t="str">
        <x:v>Lab Manager</x:v>
      </x:c>
      <x:c r="H79" s="23" t="str">
        <x:v>Medium</x:v>
      </x:c>
      <x:c r="I79" s="23" t="str">
        <x:v>No</x:v>
      </x:c>
      <x:c r="J79" s="23" t="str"/>
      <x:c r="K79" s="23" t="str">
        <x:v>Required master data and user exist.</x:v>
      </x:c>
      <x:c r="L79" s="23" t="str">
        <x:v>Use dedicated non-production test data.</x:v>
      </x:c>
      <x:c r="M79" s="23" t="str">
        <x:v>1. Sign in as Lab Manager. 2. Create a duplicate test code. 3. Save or submit. 4. Refresh or reopen the record. 5. Compare the result with the pass condition.</x:v>
      </x:c>
      <x:c r="N79" s="23" t="str">
        <x:v>Duplicate is blocked.</x:v>
      </x:c>
      <x:c r="O79" s="26" t="str">
        <x:v>Not Run</x:v>
      </x:c>
      <x:c r="P79" s="26" t="str"/>
      <x:c r="Q79" s="26" t="str"/>
      <x:c r="R79" s="26" t="str"/>
      <x:c r="S79" s="26" t="str"/>
      <x:c r="T79" s="26" t="str"/>
      <x:c r="U79" s="26" t="str">
        <x:v>QA</x:v>
      </x:c>
      <x:c r="V79" s="26" t="str"/>
      <x:c r="W79" s="29" t="str"/>
      <x:c r="X79" s="26" t="str"/>
      <x:c r="Y79" s="26" t="str">
        <x:v>Not Required</x:v>
      </x:c>
      <x:c r="Z79" s="26" t="str"/>
      <x:c r="AA79" s="28" t="n">
        <x:f>IF(OR(O79="Passed",O79="Failed",O79="Blocked"),1,0)</x:f>
        <x:v>0</x:v>
      </x:c>
      <x:c r="AB79" s="28" t="n">
        <x:f>IF(O79="Passed",1,0)</x:f>
        <x:v>0</x:v>
      </x:c>
      <x:c r="AC79" s="28" t="n">
        <x:f>IF(AND(OR(R79="Critical",R79="High"),OR(O79="Failed",O79="Blocked"),S79&lt;&gt;"Closed",S79&lt;&gt;"Rejected"),1,0)</x:f>
        <x:v>0</x:v>
      </x:c>
      <x:c r="AD79" s="28" t="n">
        <x:f>IF(X79&lt;&gt;"",1,0)</x:f>
        <x:v>0</x:v>
      </x:c>
      <x:c r="AE79" s="28" t="n">
        <x:f>IF(J79&lt;&gt;"",1,0)</x:f>
        <x:v>0</x:v>
      </x:c>
    </x:row>
    <x:row r="80">
      <x:c r="A80" s="23" t="str">
        <x:v>L2-049</x:v>
      </x:c>
      <x:c r="B80" s="23" t="str">
        <x:v>Level 2</x:v>
      </x:c>
      <x:c r="C80" s="23" t="str">
        <x:v>Test Master</x:v>
      </x:c>
      <x:c r="D80" s="23" t="str"/>
      <x:c r="E80" s="23" t="str">
        <x:v>Parameter validation</x:v>
      </x:c>
      <x:c r="F80" s="23" t="str">
        <x:v>Functional</x:v>
      </x:c>
      <x:c r="G80" s="23" t="str">
        <x:v>Lab Manager</x:v>
      </x:c>
      <x:c r="H80" s="23" t="str">
        <x:v>Medium</x:v>
      </x:c>
      <x:c r="I80" s="23" t="str">
        <x:v>No</x:v>
      </x:c>
      <x:c r="J80" s="23" t="str"/>
      <x:c r="K80" s="23" t="str">
        <x:v>Required master data and user exist.</x:v>
      </x:c>
      <x:c r="L80" s="23" t="str">
        <x:v>Use dedicated non-production test data.</x:v>
      </x:c>
      <x:c r="M80" s="23" t="str">
        <x:v>1. Sign in as Lab Manager. 2. Create required numeric/text parameters with units. 3. Save or submit. 4. Refresh or reopen the record. 5. Compare the result with the pass condition.</x:v>
      </x:c>
      <x:c r="N80" s="23" t="str">
        <x:v>Definitions save correctly.</x:v>
      </x:c>
      <x:c r="O80" s="26" t="str">
        <x:v>Not Run</x:v>
      </x:c>
      <x:c r="P80" s="26" t="str"/>
      <x:c r="Q80" s="26" t="str"/>
      <x:c r="R80" s="26" t="str"/>
      <x:c r="S80" s="26" t="str"/>
      <x:c r="T80" s="26" t="str"/>
      <x:c r="U80" s="26" t="str">
        <x:v>QA</x:v>
      </x:c>
      <x:c r="V80" s="26" t="str"/>
      <x:c r="W80" s="29" t="str"/>
      <x:c r="X80" s="26" t="str"/>
      <x:c r="Y80" s="26" t="str">
        <x:v>Not Required</x:v>
      </x:c>
      <x:c r="Z80" s="26" t="str"/>
      <x:c r="AA80" s="28" t="n">
        <x:f>IF(OR(O80="Passed",O80="Failed",O80="Blocked"),1,0)</x:f>
        <x:v>0</x:v>
      </x:c>
      <x:c r="AB80" s="28" t="n">
        <x:f>IF(O80="Passed",1,0)</x:f>
        <x:v>0</x:v>
      </x:c>
      <x:c r="AC80" s="28" t="n">
        <x:f>IF(AND(OR(R80="Critical",R80="High"),OR(O80="Failed",O80="Blocked"),S80&lt;&gt;"Closed",S80&lt;&gt;"Rejected"),1,0)</x:f>
        <x:v>0</x:v>
      </x:c>
      <x:c r="AD80" s="28" t="n">
        <x:f>IF(X80&lt;&gt;"",1,0)</x:f>
        <x:v>0</x:v>
      </x:c>
      <x:c r="AE80" s="28" t="n">
        <x:f>IF(J80&lt;&gt;"",1,0)</x:f>
        <x:v>0</x:v>
      </x:c>
    </x:row>
    <x:row r="81">
      <x:c r="A81" s="23" t="str">
        <x:v>L2-050</x:v>
      </x:c>
      <x:c r="B81" s="23" t="str">
        <x:v>Level 2</x:v>
      </x:c>
      <x:c r="C81" s="23" t="str">
        <x:v>Test Master</x:v>
      </x:c>
      <x:c r="D81" s="23" t="str"/>
      <x:c r="E81" s="23" t="str">
        <x:v>Reference ranges</x:v>
      </x:c>
      <x:c r="F81" s="23" t="str">
        <x:v>Functional</x:v>
      </x:c>
      <x:c r="G81" s="23" t="str">
        <x:v>Lab Manager</x:v>
      </x:c>
      <x:c r="H81" s="23" t="str">
        <x:v>Medium</x:v>
      </x:c>
      <x:c r="I81" s="23" t="str">
        <x:v>No</x:v>
      </x:c>
      <x:c r="J81" s="23" t="str"/>
      <x:c r="K81" s="23" t="str">
        <x:v>Required master data and user exist.</x:v>
      </x:c>
      <x:c r="L81" s="23" t="str">
        <x:v>Use dedicated non-production test data.</x:v>
      </x:c>
      <x:c r="M81" s="23" t="str">
        <x:v>1. Sign in as Lab Manager. 2. Configure male/female and boundary ranges. 3. Save or submit. 4. Refresh or reopen the record. 5. Compare the result with the pass condition.</x:v>
      </x:c>
      <x:c r="N81" s="23" t="str">
        <x:v>Flags are correct at, below and above boundaries.</x:v>
      </x:c>
      <x:c r="O81" s="26" t="str">
        <x:v>Not Run</x:v>
      </x:c>
      <x:c r="P81" s="26" t="str"/>
      <x:c r="Q81" s="26" t="str"/>
      <x:c r="R81" s="26" t="str"/>
      <x:c r="S81" s="26" t="str"/>
      <x:c r="T81" s="26" t="str"/>
      <x:c r="U81" s="26" t="str">
        <x:v>QA</x:v>
      </x:c>
      <x:c r="V81" s="26" t="str"/>
      <x:c r="W81" s="29" t="str"/>
      <x:c r="X81" s="26" t="str"/>
      <x:c r="Y81" s="26" t="str">
        <x:v>Not Required</x:v>
      </x:c>
      <x:c r="Z81" s="26" t="str"/>
      <x:c r="AA81" s="28" t="n">
        <x:f>IF(OR(O81="Passed",O81="Failed",O81="Blocked"),1,0)</x:f>
        <x:v>0</x:v>
      </x:c>
      <x:c r="AB81" s="28" t="n">
        <x:f>IF(O81="Passed",1,0)</x:f>
        <x:v>0</x:v>
      </x:c>
      <x:c r="AC81" s="28" t="n">
        <x:f>IF(AND(OR(R81="Critical",R81="High"),OR(O81="Failed",O81="Blocked"),S81&lt;&gt;"Closed",S81&lt;&gt;"Rejected"),1,0)</x:f>
        <x:v>0</x:v>
      </x:c>
      <x:c r="AD81" s="28" t="n">
        <x:f>IF(X81&lt;&gt;"",1,0)</x:f>
        <x:v>0</x:v>
      </x:c>
      <x:c r="AE81" s="28" t="n">
        <x:f>IF(J81&lt;&gt;"",1,0)</x:f>
        <x:v>0</x:v>
      </x:c>
    </x:row>
    <x:row r="82">
      <x:c r="A82" s="23" t="str">
        <x:v>L2-051</x:v>
      </x:c>
      <x:c r="B82" s="23" t="str">
        <x:v>Level 2</x:v>
      </x:c>
      <x:c r="C82" s="23" t="str">
        <x:v>Test Master</x:v>
      </x:c>
      <x:c r="D82" s="23" t="str"/>
      <x:c r="E82" s="23" t="str">
        <x:v>Package expansion</x:v>
      </x:c>
      <x:c r="F82" s="23" t="str">
        <x:v>Functional</x:v>
      </x:c>
      <x:c r="G82" s="23" t="str">
        <x:v>Lab Manager</x:v>
      </x:c>
      <x:c r="H82" s="23" t="str">
        <x:v>Medium</x:v>
      </x:c>
      <x:c r="I82" s="23" t="str">
        <x:v>No</x:v>
      </x:c>
      <x:c r="J82" s="23" t="str"/>
      <x:c r="K82" s="23" t="str">
        <x:v>Required master data and user exist.</x:v>
      </x:c>
      <x:c r="L82" s="23" t="str">
        <x:v>Use dedicated non-production test data.</x:v>
      </x:c>
      <x:c r="M82" s="23" t="str">
        <x:v>1. Sign in as Lab Manager. 2. Create a package with multiple tests. 3. Save or submit. 4. Refresh or reopen the record. 5. Compare the result with the pass condition.</x:v>
      </x:c>
      <x:c r="N82" s="23" t="str">
        <x:v>All active tests expand exactly once.</x:v>
      </x:c>
      <x:c r="O82" s="26" t="str">
        <x:v>Not Run</x:v>
      </x:c>
      <x:c r="P82" s="26" t="str"/>
      <x:c r="Q82" s="26" t="str"/>
      <x:c r="R82" s="26" t="str"/>
      <x:c r="S82" s="26" t="str"/>
      <x:c r="T82" s="26" t="str"/>
      <x:c r="U82" s="26" t="str">
        <x:v>QA</x:v>
      </x:c>
      <x:c r="V82" s="26" t="str"/>
      <x:c r="W82" s="29" t="str"/>
      <x:c r="X82" s="26" t="str"/>
      <x:c r="Y82" s="26" t="str">
        <x:v>Not Required</x:v>
      </x:c>
      <x:c r="Z82" s="26" t="str"/>
      <x:c r="AA82" s="28" t="n">
        <x:f>IF(OR(O82="Passed",O82="Failed",O82="Blocked"),1,0)</x:f>
        <x:v>0</x:v>
      </x:c>
      <x:c r="AB82" s="28" t="n">
        <x:f>IF(O82="Passed",1,0)</x:f>
        <x:v>0</x:v>
      </x:c>
      <x:c r="AC82" s="28" t="n">
        <x:f>IF(AND(OR(R82="Critical",R82="High"),OR(O82="Failed",O82="Blocked"),S82&lt;&gt;"Closed",S82&lt;&gt;"Rejected"),1,0)</x:f>
        <x:v>0</x:v>
      </x:c>
      <x:c r="AD82" s="28" t="n">
        <x:f>IF(X82&lt;&gt;"",1,0)</x:f>
        <x:v>0</x:v>
      </x:c>
      <x:c r="AE82" s="28" t="n">
        <x:f>IF(J82&lt;&gt;"",1,0)</x:f>
        <x:v>0</x:v>
      </x:c>
    </x:row>
    <x:row r="83">
      <x:c r="A83" s="23" t="str">
        <x:v>L2-052</x:v>
      </x:c>
      <x:c r="B83" s="23" t="str">
        <x:v>Level 2</x:v>
      </x:c>
      <x:c r="C83" s="23" t="str">
        <x:v>Test Master</x:v>
      </x:c>
      <x:c r="D83" s="23" t="str"/>
      <x:c r="E83" s="23" t="str">
        <x:v>Package invalid member</x:v>
      </x:c>
      <x:c r="F83" s="23" t="str">
        <x:v>Functional</x:v>
      </x:c>
      <x:c r="G83" s="23" t="str">
        <x:v>Lab Manager</x:v>
      </x:c>
      <x:c r="H83" s="23" t="str">
        <x:v>Medium</x:v>
      </x:c>
      <x:c r="I83" s="23" t="str">
        <x:v>No</x:v>
      </x:c>
      <x:c r="J83" s="23" t="str">
        <x:v>Stronger package validation</x:v>
      </x:c>
      <x:c r="K83" s="23" t="str">
        <x:v>Required master data and user exist.</x:v>
      </x:c>
      <x:c r="L83" s="23" t="str">
        <x:v>Use dedicated non-production test data.</x:v>
      </x:c>
      <x:c r="M83" s="23" t="str">
        <x:v>1. Sign in as Lab Manager. 2. Add inactive/duplicate tests to a package. 3. Save or submit. 4. Refresh or reopen the record. 5. Compare the result with the pass condition.</x:v>
      </x:c>
      <x:c r="N83" s="23" t="str">
        <x:v>Invalid package setup is blocked.</x:v>
      </x:c>
      <x:c r="O83" s="26" t="str">
        <x:v>Not Run</x:v>
      </x:c>
      <x:c r="P83" s="26" t="str"/>
      <x:c r="Q83" s="26" t="str"/>
      <x:c r="R83" s="26" t="str"/>
      <x:c r="S83" s="26" t="str"/>
      <x:c r="T83" s="26" t="str"/>
      <x:c r="U83" s="26" t="str">
        <x:v>QA</x:v>
      </x:c>
      <x:c r="V83" s="26" t="str"/>
      <x:c r="W83" s="29" t="str"/>
      <x:c r="X83" s="26" t="str"/>
      <x:c r="Y83" s="26" t="str">
        <x:v>Not Required</x:v>
      </x:c>
      <x:c r="Z83" s="26" t="str"/>
      <x:c r="AA83" s="28" t="n">
        <x:f>IF(OR(O83="Passed",O83="Failed",O83="Blocked"),1,0)</x:f>
        <x:v>0</x:v>
      </x:c>
      <x:c r="AB83" s="28" t="n">
        <x:f>IF(O83="Passed",1,0)</x:f>
        <x:v>0</x:v>
      </x:c>
      <x:c r="AC83" s="28" t="n">
        <x:f>IF(AND(OR(R83="Critical",R83="High"),OR(O83="Failed",O83="Blocked"),S83&lt;&gt;"Closed",S83&lt;&gt;"Rejected"),1,0)</x:f>
        <x:v>0</x:v>
      </x:c>
      <x:c r="AD83" s="28" t="n">
        <x:f>IF(X83&lt;&gt;"",1,0)</x:f>
        <x:v>0</x:v>
      </x:c>
      <x:c r="AE83" s="28" t="n">
        <x:f>IF(J83&lt;&gt;"",1,0)</x:f>
        <x:v>1</x:v>
      </x:c>
    </x:row>
    <x:row r="84">
      <x:c r="A84" s="23" t="str">
        <x:v>L2-053</x:v>
      </x:c>
      <x:c r="B84" s="23" t="str">
        <x:v>Level 2</x:v>
      </x:c>
      <x:c r="C84" s="23" t="str">
        <x:v>Test Master</x:v>
      </x:c>
      <x:c r="D84" s="23" t="str"/>
      <x:c r="E84" s="23" t="str">
        <x:v>Price permission</x:v>
      </x:c>
      <x:c r="F84" s="23" t="str">
        <x:v>Functional</x:v>
      </x:c>
      <x:c r="G84" s="23" t="str">
        <x:v>Lab Manager</x:v>
      </x:c>
      <x:c r="H84" s="23" t="str">
        <x:v>Medium</x:v>
      </x:c>
      <x:c r="I84" s="23" t="str">
        <x:v>No</x:v>
      </x:c>
      <x:c r="J84" s="23" t="str"/>
      <x:c r="K84" s="23" t="str">
        <x:v>Required master data and user exist.</x:v>
      </x:c>
      <x:c r="L84" s="23" t="str">
        <x:v>Use dedicated non-production test data.</x:v>
      </x:c>
      <x:c r="M84" s="23" t="str">
        <x:v>1. Sign in as Lab Manager. 2. Edit price without the required permission. 3. Save or submit. 4. Refresh or reopen the record. 5. Compare the result with the pass condition.</x:v>
      </x:c>
      <x:c r="N84" s="23" t="str">
        <x:v>Server and UI deny the edit.</x:v>
      </x:c>
      <x:c r="O84" s="26" t="str">
        <x:v>Not Run</x:v>
      </x:c>
      <x:c r="P84" s="26" t="str"/>
      <x:c r="Q84" s="26" t="str"/>
      <x:c r="R84" s="26" t="str"/>
      <x:c r="S84" s="26" t="str"/>
      <x:c r="T84" s="26" t="str"/>
      <x:c r="U84" s="26" t="str">
        <x:v>QA</x:v>
      </x:c>
      <x:c r="V84" s="26" t="str"/>
      <x:c r="W84" s="29" t="str"/>
      <x:c r="X84" s="26" t="str"/>
      <x:c r="Y84" s="26" t="str">
        <x:v>Not Required</x:v>
      </x:c>
      <x:c r="Z84" s="26" t="str"/>
      <x:c r="AA84" s="28" t="n">
        <x:f>IF(OR(O84="Passed",O84="Failed",O84="Blocked"),1,0)</x:f>
        <x:v>0</x:v>
      </x:c>
      <x:c r="AB84" s="28" t="n">
        <x:f>IF(O84="Passed",1,0)</x:f>
        <x:v>0</x:v>
      </x:c>
      <x:c r="AC84" s="28" t="n">
        <x:f>IF(AND(OR(R84="Critical",R84="High"),OR(O84="Failed",O84="Blocked"),S84&lt;&gt;"Closed",S84&lt;&gt;"Rejected"),1,0)</x:f>
        <x:v>0</x:v>
      </x:c>
      <x:c r="AD84" s="28" t="n">
        <x:f>IF(X84&lt;&gt;"",1,0)</x:f>
        <x:v>0</x:v>
      </x:c>
      <x:c r="AE84" s="28" t="n">
        <x:f>IF(J84&lt;&gt;"",1,0)</x:f>
        <x:v>0</x:v>
      </x:c>
    </x:row>
    <x:row r="85">
      <x:c r="A85" s="23" t="str">
        <x:v>L2-054</x:v>
      </x:c>
      <x:c r="B85" s="23" t="str">
        <x:v>Level 2</x:v>
      </x:c>
      <x:c r="C85" s="23" t="str">
        <x:v>Test Master</x:v>
      </x:c>
      <x:c r="D85" s="23" t="str"/>
      <x:c r="E85" s="23" t="str">
        <x:v>Deactivate test</x:v>
      </x:c>
      <x:c r="F85" s="23" t="str">
        <x:v>Functional</x:v>
      </x:c>
      <x:c r="G85" s="23" t="str">
        <x:v>Lab Manager</x:v>
      </x:c>
      <x:c r="H85" s="23" t="str">
        <x:v>Medium</x:v>
      </x:c>
      <x:c r="I85" s="23" t="str">
        <x:v>No</x:v>
      </x:c>
      <x:c r="J85" s="23" t="str"/>
      <x:c r="K85" s="23" t="str">
        <x:v>Required master data and user exist.</x:v>
      </x:c>
      <x:c r="L85" s="23" t="str">
        <x:v>Use dedicated non-production test data.</x:v>
      </x:c>
      <x:c r="M85" s="23" t="str">
        <x:v>1. Sign in as Lab Manager. 2. Deactivate a test after old bills exist. 3. Save or submit. 4. Refresh or reopen the record. 5. Compare the result with the pass condition.</x:v>
      </x:c>
      <x:c r="N85" s="23" t="str">
        <x:v>Old snapshots remain; new billing cannot select it.</x:v>
      </x:c>
      <x:c r="O85" s="26" t="str">
        <x:v>Not Run</x:v>
      </x:c>
      <x:c r="P85" s="26" t="str"/>
      <x:c r="Q85" s="26" t="str"/>
      <x:c r="R85" s="26" t="str"/>
      <x:c r="S85" s="26" t="str"/>
      <x:c r="T85" s="26" t="str"/>
      <x:c r="U85" s="26" t="str">
        <x:v>QA</x:v>
      </x:c>
      <x:c r="V85" s="26" t="str"/>
      <x:c r="W85" s="29" t="str"/>
      <x:c r="X85" s="26" t="str"/>
      <x:c r="Y85" s="26" t="str">
        <x:v>Not Required</x:v>
      </x:c>
      <x:c r="Z85" s="26" t="str"/>
      <x:c r="AA85" s="28" t="n">
        <x:f>IF(OR(O85="Passed",O85="Failed",O85="Blocked"),1,0)</x:f>
        <x:v>0</x:v>
      </x:c>
      <x:c r="AB85" s="28" t="n">
        <x:f>IF(O85="Passed",1,0)</x:f>
        <x:v>0</x:v>
      </x:c>
      <x:c r="AC85" s="28" t="n">
        <x:f>IF(AND(OR(R85="Critical",R85="High"),OR(O85="Failed",O85="Blocked"),S85&lt;&gt;"Closed",S85&lt;&gt;"Rejected"),1,0)</x:f>
        <x:v>0</x:v>
      </x:c>
      <x:c r="AD85" s="28" t="n">
        <x:f>IF(X85&lt;&gt;"",1,0)</x:f>
        <x:v>0</x:v>
      </x:c>
      <x:c r="AE85" s="28" t="n">
        <x:f>IF(J85&lt;&gt;"",1,0)</x:f>
        <x:v>0</x:v>
      </x:c>
    </x:row>
    <x:row r="86">
      <x:c r="A86" s="23" t="str">
        <x:v>L2-055</x:v>
      </x:c>
      <x:c r="B86" s="23" t="str">
        <x:v>Level 2</x:v>
      </x:c>
      <x:c r="C86" s="23" t="str">
        <x:v>Test Master</x:v>
      </x:c>
      <x:c r="D86" s="23" t="str"/>
      <x:c r="E86" s="23" t="str">
        <x:v>Restore test</x:v>
      </x:c>
      <x:c r="F86" s="23" t="str">
        <x:v>Functional</x:v>
      </x:c>
      <x:c r="G86" s="23" t="str">
        <x:v>Lab Manager</x:v>
      </x:c>
      <x:c r="H86" s="23" t="str">
        <x:v>Medium</x:v>
      </x:c>
      <x:c r="I86" s="23" t="str">
        <x:v>No</x:v>
      </x:c>
      <x:c r="J86" s="23" t="str">
        <x:v>Test deactivate/restore workflow</x:v>
      </x:c>
      <x:c r="K86" s="23" t="str">
        <x:v>Required master data and user exist.</x:v>
      </x:c>
      <x:c r="L86" s="23" t="str">
        <x:v>Use dedicated non-production test data.</x:v>
      </x:c>
      <x:c r="M86" s="23" t="str">
        <x:v>1. Sign in as Lab Manager. 2. Restore a deactivated test. 3. Save or submit. 4. Refresh or reopen the record. 5. Compare the result with the pass condition.</x:v>
      </x:c>
      <x:c r="N86" s="23" t="str">
        <x:v>Availability follows the approved restore policy.</x:v>
      </x:c>
      <x:c r="O86" s="26" t="str">
        <x:v>Not Run</x:v>
      </x:c>
      <x:c r="P86" s="26" t="str"/>
      <x:c r="Q86" s="26" t="str"/>
      <x:c r="R86" s="26" t="str"/>
      <x:c r="S86" s="26" t="str"/>
      <x:c r="T86" s="26" t="str"/>
      <x:c r="U86" s="26" t="str">
        <x:v>QA</x:v>
      </x:c>
      <x:c r="V86" s="26" t="str"/>
      <x:c r="W86" s="29" t="str"/>
      <x:c r="X86" s="26" t="str"/>
      <x:c r="Y86" s="26" t="str">
        <x:v>Not Required</x:v>
      </x:c>
      <x:c r="Z86" s="26" t="str"/>
      <x:c r="AA86" s="28" t="n">
        <x:f>IF(OR(O86="Passed",O86="Failed",O86="Blocked"),1,0)</x:f>
        <x:v>0</x:v>
      </x:c>
      <x:c r="AB86" s="28" t="n">
        <x:f>IF(O86="Passed",1,0)</x:f>
        <x:v>0</x:v>
      </x:c>
      <x:c r="AC86" s="28" t="n">
        <x:f>IF(AND(OR(R86="Critical",R86="High"),OR(O86="Failed",O86="Blocked"),S86&lt;&gt;"Closed",S86&lt;&gt;"Rejected"),1,0)</x:f>
        <x:v>0</x:v>
      </x:c>
      <x:c r="AD86" s="28" t="n">
        <x:f>IF(X86&lt;&gt;"",1,0)</x:f>
        <x:v>0</x:v>
      </x:c>
      <x:c r="AE86" s="28" t="n">
        <x:f>IF(J86&lt;&gt;"",1,0)</x:f>
        <x:v>1</x:v>
      </x:c>
    </x:row>
    <x:row r="87">
      <x:c r="A87" s="23" t="str">
        <x:v>L2-056</x:v>
      </x:c>
      <x:c r="B87" s="23" t="str">
        <x:v>Level 2</x:v>
      </x:c>
      <x:c r="C87" s="23" t="str">
        <x:v>Test Master</x:v>
      </x:c>
      <x:c r="D87" s="23" t="str"/>
      <x:c r="E87" s="23" t="str">
        <x:v>Age-specific ranges</x:v>
      </x:c>
      <x:c r="F87" s="23" t="str">
        <x:v>Functional</x:v>
      </x:c>
      <x:c r="G87" s="23" t="str">
        <x:v>Lab Manager</x:v>
      </x:c>
      <x:c r="H87" s="23" t="str">
        <x:v>Medium</x:v>
      </x:c>
      <x:c r="I87" s="23" t="str">
        <x:v>No</x:v>
      </x:c>
      <x:c r="J87" s="23" t="str">
        <x:v>Advanced age/context reference ranges</x:v>
      </x:c>
      <x:c r="K87" s="23" t="str">
        <x:v>Required master data and user exist.</x:v>
      </x:c>
      <x:c r="L87" s="23" t="str">
        <x:v>Use dedicated non-production test data.</x:v>
      </x:c>
      <x:c r="M87" s="23" t="str">
        <x:v>1. Sign in as Lab Manager. 2. Configure/test age-dependent references. 3. Save or submit. 4. Refresh or reopen the record. 5. Compare the result with the pass condition.</x:v>
      </x:c>
      <x:c r="N87" s="23" t="str">
        <x:v>Results use the correct range or the gap is recorded.</x:v>
      </x:c>
      <x:c r="O87" s="26" t="str">
        <x:v>Not Run</x:v>
      </x:c>
      <x:c r="P87" s="26" t="str"/>
      <x:c r="Q87" s="26" t="str"/>
      <x:c r="R87" s="26" t="str"/>
      <x:c r="S87" s="26" t="str"/>
      <x:c r="T87" s="26" t="str"/>
      <x:c r="U87" s="26" t="str">
        <x:v>QA</x:v>
      </x:c>
      <x:c r="V87" s="26" t="str"/>
      <x:c r="W87" s="29" t="str"/>
      <x:c r="X87" s="26" t="str"/>
      <x:c r="Y87" s="26" t="str">
        <x:v>Not Required</x:v>
      </x:c>
      <x:c r="Z87" s="26" t="str"/>
      <x:c r="AA87" s="28" t="n">
        <x:f>IF(OR(O87="Passed",O87="Failed",O87="Blocked"),1,0)</x:f>
        <x:v>0</x:v>
      </x:c>
      <x:c r="AB87" s="28" t="n">
        <x:f>IF(O87="Passed",1,0)</x:f>
        <x:v>0</x:v>
      </x:c>
      <x:c r="AC87" s="28" t="n">
        <x:f>IF(AND(OR(R87="Critical",R87="High"),OR(O87="Failed",O87="Blocked"),S87&lt;&gt;"Closed",S87&lt;&gt;"Rejected"),1,0)</x:f>
        <x:v>0</x:v>
      </x:c>
      <x:c r="AD87" s="28" t="n">
        <x:f>IF(X87&lt;&gt;"",1,0)</x:f>
        <x:v>0</x:v>
      </x:c>
      <x:c r="AE87" s="28" t="n">
        <x:f>IF(J87&lt;&gt;"",1,0)</x:f>
        <x:v>1</x:v>
      </x:c>
    </x:row>
    <x:row r="88">
      <x:c r="A88" s="23" t="str">
        <x:v>L2-057</x:v>
      </x:c>
      <x:c r="B88" s="23" t="str">
        <x:v>Level 2</x:v>
      </x:c>
      <x:c r="C88" s="23" t="str">
        <x:v>Test Master</x:v>
      </x:c>
      <x:c r="D88" s="23" t="str"/>
      <x:c r="E88" s="23" t="str">
        <x:v>Inventory requirement</x:v>
      </x:c>
      <x:c r="F88" s="23" t="str">
        <x:v>Functional</x:v>
      </x:c>
      <x:c r="G88" s="23" t="str">
        <x:v>Lab Manager</x:v>
      </x:c>
      <x:c r="H88" s="23" t="str">
        <x:v>Medium</x:v>
      </x:c>
      <x:c r="I88" s="23" t="str">
        <x:v>No</x:v>
      </x:c>
      <x:c r="J88" s="23" t="str"/>
      <x:c r="K88" s="23" t="str">
        <x:v>Required master data and user exist.</x:v>
      </x:c>
      <x:c r="L88" s="23" t="str">
        <x:v>Use dedicated non-production test data.</x:v>
      </x:c>
      <x:c r="M88" s="23" t="str">
        <x:v>1. Sign in as Lab Manager. 2. Link item and quantity/UOM to a test. 3. Save or submit. 4. Refresh or reopen the record. 5. Compare the result with the pass condition.</x:v>
      </x:c>
      <x:c r="N88" s="23" t="str">
        <x:v>The requirement is available to sample processing.</x:v>
      </x:c>
      <x:c r="O88" s="26" t="str">
        <x:v>Not Run</x:v>
      </x:c>
      <x:c r="P88" s="26" t="str"/>
      <x:c r="Q88" s="26" t="str"/>
      <x:c r="R88" s="26" t="str"/>
      <x:c r="S88" s="26" t="str"/>
      <x:c r="T88" s="26" t="str"/>
      <x:c r="U88" s="26" t="str">
        <x:v>QA</x:v>
      </x:c>
      <x:c r="V88" s="26" t="str"/>
      <x:c r="W88" s="29" t="str"/>
      <x:c r="X88" s="26" t="str"/>
      <x:c r="Y88" s="26" t="str">
        <x:v>Not Required</x:v>
      </x:c>
      <x:c r="Z88" s="26" t="str"/>
      <x:c r="AA88" s="28" t="n">
        <x:f>IF(OR(O88="Passed",O88="Failed",O88="Blocked"),1,0)</x:f>
        <x:v>0</x:v>
      </x:c>
      <x:c r="AB88" s="28" t="n">
        <x:f>IF(O88="Passed",1,0)</x:f>
        <x:v>0</x:v>
      </x:c>
      <x:c r="AC88" s="28" t="n">
        <x:f>IF(AND(OR(R88="Critical",R88="High"),OR(O88="Failed",O88="Blocked"),S88&lt;&gt;"Closed",S88&lt;&gt;"Rejected"),1,0)</x:f>
        <x:v>0</x:v>
      </x:c>
      <x:c r="AD88" s="28" t="n">
        <x:f>IF(X88&lt;&gt;"",1,0)</x:f>
        <x:v>0</x:v>
      </x:c>
      <x:c r="AE88" s="28" t="n">
        <x:f>IF(J88&lt;&gt;"",1,0)</x:f>
        <x:v>0</x:v>
      </x:c>
    </x:row>
    <x:row r="89">
      <x:c r="A89" s="23" t="str">
        <x:v>L2-058</x:v>
      </x:c>
      <x:c r="B89" s="23" t="str">
        <x:v>Level 2</x:v>
      </x:c>
      <x:c r="C89" s="23" t="str">
        <x:v>Test Master</x:v>
      </x:c>
      <x:c r="D89" s="23" t="str"/>
      <x:c r="E89" s="23" t="str">
        <x:v>Master change audit</x:v>
      </x:c>
      <x:c r="F89" s="23" t="str">
        <x:v>Functional</x:v>
      </x:c>
      <x:c r="G89" s="23" t="str">
        <x:v>Lab Manager</x:v>
      </x:c>
      <x:c r="H89" s="23" t="str">
        <x:v>Medium</x:v>
      </x:c>
      <x:c r="I89" s="23" t="str">
        <x:v>No</x:v>
      </x:c>
      <x:c r="J89" s="23" t="str">
        <x:v>Complete test-master audit</x:v>
      </x:c>
      <x:c r="K89" s="23" t="str">
        <x:v>Required master data and user exist.</x:v>
      </x:c>
      <x:c r="L89" s="23" t="str">
        <x:v>Use dedicated non-production test data.</x:v>
      </x:c>
      <x:c r="M89" s="23" t="str">
        <x:v>1. Sign in as Lab Manager. 2. Edit price, range and parameters. 3. Save or submit. 4. Refresh or reopen the record. 5. Compare the result with the pass condition.</x:v>
      </x:c>
      <x:c r="N89" s="23" t="str">
        <x:v>Old/new values and actor are auditable.</x:v>
      </x:c>
      <x:c r="O89" s="26" t="str">
        <x:v>Not Run</x:v>
      </x:c>
      <x:c r="P89" s="26" t="str"/>
      <x:c r="Q89" s="26" t="str"/>
      <x:c r="R89" s="26" t="str"/>
      <x:c r="S89" s="26" t="str"/>
      <x:c r="T89" s="26" t="str"/>
      <x:c r="U89" s="26" t="str">
        <x:v>QA</x:v>
      </x:c>
      <x:c r="V89" s="26" t="str"/>
      <x:c r="W89" s="29" t="str"/>
      <x:c r="X89" s="26" t="str"/>
      <x:c r="Y89" s="26" t="str">
        <x:v>Not Required</x:v>
      </x:c>
      <x:c r="Z89" s="26" t="str"/>
      <x:c r="AA89" s="28" t="n">
        <x:f>IF(OR(O89="Passed",O89="Failed",O89="Blocked"),1,0)</x:f>
        <x:v>0</x:v>
      </x:c>
      <x:c r="AB89" s="28" t="n">
        <x:f>IF(O89="Passed",1,0)</x:f>
        <x:v>0</x:v>
      </x:c>
      <x:c r="AC89" s="28" t="n">
        <x:f>IF(AND(OR(R89="Critical",R89="High"),OR(O89="Failed",O89="Blocked"),S89&lt;&gt;"Closed",S89&lt;&gt;"Rejected"),1,0)</x:f>
        <x:v>0</x:v>
      </x:c>
      <x:c r="AD89" s="28" t="n">
        <x:f>IF(X89&lt;&gt;"",1,0)</x:f>
        <x:v>0</x:v>
      </x:c>
      <x:c r="AE89" s="28" t="n">
        <x:f>IF(J89&lt;&gt;"",1,0)</x:f>
        <x:v>1</x:v>
      </x:c>
    </x:row>
    <x:row r="90">
      <x:c r="A90" s="23" t="str">
        <x:v>L2-059</x:v>
      </x:c>
      <x:c r="B90" s="23" t="str">
        <x:v>Level 2</x:v>
      </x:c>
      <x:c r="C90" s="23" t="str">
        <x:v>Billing &amp; Payments</x:v>
      </x:c>
      <x:c r="D90" s="23" t="str"/>
      <x:c r="E90" s="23" t="str">
        <x:v>Manual bill</x:v>
      </x:c>
      <x:c r="F90" s="23" t="str">
        <x:v>Functional</x:v>
      </x:c>
      <x:c r="G90" s="23" t="str">
        <x:v>Billing Cashier</x:v>
      </x:c>
      <x:c r="H90" s="23" t="str">
        <x:v>Medium</x:v>
      </x:c>
      <x:c r="I90" s="23" t="str">
        <x:v>No</x:v>
      </x:c>
      <x:c r="J90" s="23" t="str"/>
      <x:c r="K90" s="23" t="str">
        <x:v>Required master data and user exist.</x:v>
      </x:c>
      <x:c r="L90" s="23" t="str">
        <x:v>Use dedicated non-production test data.</x:v>
      </x:c>
      <x:c r="M90" s="23" t="str">
        <x:v>1. Sign in as Billing Cashier. 2. Create a bill with one test. 3. Save or submit. 4. Refresh or reopen the record. 5. Compare the result with the pass condition.</x:v>
      </x:c>
      <x:c r="N90" s="23" t="str">
        <x:v>ID, line, price and total are correct.</x:v>
      </x:c>
      <x:c r="O90" s="26" t="str">
        <x:v>Not Run</x:v>
      </x:c>
      <x:c r="P90" s="26" t="str"/>
      <x:c r="Q90" s="26" t="str"/>
      <x:c r="R90" s="26" t="str"/>
      <x:c r="S90" s="26" t="str"/>
      <x:c r="T90" s="26" t="str"/>
      <x:c r="U90" s="26" t="str">
        <x:v>QA</x:v>
      </x:c>
      <x:c r="V90" s="26" t="str"/>
      <x:c r="W90" s="29" t="str"/>
      <x:c r="X90" s="26" t="str"/>
      <x:c r="Y90" s="26" t="str">
        <x:v>Not Required</x:v>
      </x:c>
      <x:c r="Z90" s="26" t="str"/>
      <x:c r="AA90" s="28" t="n">
        <x:f>IF(OR(O90="Passed",O90="Failed",O90="Blocked"),1,0)</x:f>
        <x:v>0</x:v>
      </x:c>
      <x:c r="AB90" s="28" t="n">
        <x:f>IF(O90="Passed",1,0)</x:f>
        <x:v>0</x:v>
      </x:c>
      <x:c r="AC90" s="28" t="n">
        <x:f>IF(AND(OR(R90="Critical",R90="High"),OR(O90="Failed",O90="Blocked"),S90&lt;&gt;"Closed",S90&lt;&gt;"Rejected"),1,0)</x:f>
        <x:v>0</x:v>
      </x:c>
      <x:c r="AD90" s="28" t="n">
        <x:f>IF(X90&lt;&gt;"",1,0)</x:f>
        <x:v>0</x:v>
      </x:c>
      <x:c r="AE90" s="28" t="n">
        <x:f>IF(J90&lt;&gt;"",1,0)</x:f>
        <x:v>0</x:v>
      </x:c>
    </x:row>
    <x:row r="91">
      <x:c r="A91" s="23" t="str">
        <x:v>L2-060</x:v>
      </x:c>
      <x:c r="B91" s="23" t="str">
        <x:v>Level 2</x:v>
      </x:c>
      <x:c r="C91" s="23" t="str">
        <x:v>Billing &amp; Payments</x:v>
      </x:c>
      <x:c r="D91" s="23" t="str"/>
      <x:c r="E91" s="23" t="str">
        <x:v>Package bill</x:v>
      </x:c>
      <x:c r="F91" s="23" t="str">
        <x:v>Functional</x:v>
      </x:c>
      <x:c r="G91" s="23" t="str">
        <x:v>Billing Cashier</x:v>
      </x:c>
      <x:c r="H91" s="23" t="str">
        <x:v>Medium</x:v>
      </x:c>
      <x:c r="I91" s="23" t="str">
        <x:v>No</x:v>
      </x:c>
      <x:c r="J91" s="23" t="str"/>
      <x:c r="K91" s="23" t="str">
        <x:v>Required master data and user exist.</x:v>
      </x:c>
      <x:c r="L91" s="23" t="str">
        <x:v>Use dedicated non-production test data.</x:v>
      </x:c>
      <x:c r="M91" s="23" t="str">
        <x:v>1. Sign in as Billing Cashier. 2. Bill an individual test plus a package. 3. Save or submit. 4. Refresh or reopen the record. 5. Compare the result with the pass condition.</x:v>
      </x:c>
      <x:c r="N91" s="23" t="str">
        <x:v>No duplicated lines and correct total.</x:v>
      </x:c>
      <x:c r="O91" s="26" t="str">
        <x:v>Not Run</x:v>
      </x:c>
      <x:c r="P91" s="26" t="str"/>
      <x:c r="Q91" s="26" t="str"/>
      <x:c r="R91" s="26" t="str"/>
      <x:c r="S91" s="26" t="str"/>
      <x:c r="T91" s="26" t="str"/>
      <x:c r="U91" s="26" t="str">
        <x:v>QA</x:v>
      </x:c>
      <x:c r="V91" s="26" t="str"/>
      <x:c r="W91" s="29" t="str"/>
      <x:c r="X91" s="26" t="str"/>
      <x:c r="Y91" s="26" t="str">
        <x:v>Not Required</x:v>
      </x:c>
      <x:c r="Z91" s="26" t="str"/>
      <x:c r="AA91" s="28" t="n">
        <x:f>IF(OR(O91="Passed",O91="Failed",O91="Blocked"),1,0)</x:f>
        <x:v>0</x:v>
      </x:c>
      <x:c r="AB91" s="28" t="n">
        <x:f>IF(O91="Passed",1,0)</x:f>
        <x:v>0</x:v>
      </x:c>
      <x:c r="AC91" s="28" t="n">
        <x:f>IF(AND(OR(R91="Critical",R91="High"),OR(O91="Failed",O91="Blocked"),S91&lt;&gt;"Closed",S91&lt;&gt;"Rejected"),1,0)</x:f>
        <x:v>0</x:v>
      </x:c>
      <x:c r="AD91" s="28" t="n">
        <x:f>IF(X91&lt;&gt;"",1,0)</x:f>
        <x:v>0</x:v>
      </x:c>
      <x:c r="AE91" s="28" t="n">
        <x:f>IF(J91&lt;&gt;"",1,0)</x:f>
        <x:v>0</x:v>
      </x:c>
    </x:row>
    <x:row r="92">
      <x:c r="A92" s="23" t="str">
        <x:v>L2-061</x:v>
      </x:c>
      <x:c r="B92" s="23" t="str">
        <x:v>Level 2</x:v>
      </x:c>
      <x:c r="C92" s="23" t="str">
        <x:v>Billing &amp; Payments</x:v>
      </x:c>
      <x:c r="D92" s="23" t="str"/>
      <x:c r="E92" s="23" t="str">
        <x:v>Discount amount</x:v>
      </x:c>
      <x:c r="F92" s="23" t="str">
        <x:v>Functional</x:v>
      </x:c>
      <x:c r="G92" s="23" t="str">
        <x:v>Billing Cashier</x:v>
      </x:c>
      <x:c r="H92" s="23" t="str">
        <x:v>Medium</x:v>
      </x:c>
      <x:c r="I92" s="23" t="str">
        <x:v>No</x:v>
      </x:c>
      <x:c r="J92" s="23" t="str"/>
      <x:c r="K92" s="23" t="str">
        <x:v>Required master data and user exist.</x:v>
      </x:c>
      <x:c r="L92" s="23" t="str">
        <x:v>Use dedicated non-production test data.</x:v>
      </x:c>
      <x:c r="M92" s="23" t="str">
        <x:v>1. Sign in as Billing Cashier. 2. Apply a permitted fixed discount. 3. Save or submit. 4. Refresh or reopen the record. 5. Compare the result with the pass condition.</x:v>
      </x:c>
      <x:c r="N92" s="23" t="str">
        <x:v>Net total is correct.</x:v>
      </x:c>
      <x:c r="O92" s="26" t="str">
        <x:v>Not Run</x:v>
      </x:c>
      <x:c r="P92" s="26" t="str"/>
      <x:c r="Q92" s="26" t="str"/>
      <x:c r="R92" s="26" t="str"/>
      <x:c r="S92" s="26" t="str"/>
      <x:c r="T92" s="26" t="str"/>
      <x:c r="U92" s="26" t="str">
        <x:v>QA</x:v>
      </x:c>
      <x:c r="V92" s="26" t="str"/>
      <x:c r="W92" s="29" t="str"/>
      <x:c r="X92" s="26" t="str"/>
      <x:c r="Y92" s="26" t="str">
        <x:v>Not Required</x:v>
      </x:c>
      <x:c r="Z92" s="26" t="str"/>
      <x:c r="AA92" s="28" t="n">
        <x:f>IF(OR(O92="Passed",O92="Failed",O92="Blocked"),1,0)</x:f>
        <x:v>0</x:v>
      </x:c>
      <x:c r="AB92" s="28" t="n">
        <x:f>IF(O92="Passed",1,0)</x:f>
        <x:v>0</x:v>
      </x:c>
      <x:c r="AC92" s="28" t="n">
        <x:f>IF(AND(OR(R92="Critical",R92="High"),OR(O92="Failed",O92="Blocked"),S92&lt;&gt;"Closed",S92&lt;&gt;"Rejected"),1,0)</x:f>
        <x:v>0</x:v>
      </x:c>
      <x:c r="AD92" s="28" t="n">
        <x:f>IF(X92&lt;&gt;"",1,0)</x:f>
        <x:v>0</x:v>
      </x:c>
      <x:c r="AE92" s="28" t="n">
        <x:f>IF(J92&lt;&gt;"",1,0)</x:f>
        <x:v>0</x:v>
      </x:c>
    </x:row>
    <x:row r="93">
      <x:c r="A93" s="23" t="str">
        <x:v>L2-062</x:v>
      </x:c>
      <x:c r="B93" s="23" t="str">
        <x:v>Level 2</x:v>
      </x:c>
      <x:c r="C93" s="23" t="str">
        <x:v>Billing &amp; Payments</x:v>
      </x:c>
      <x:c r="D93" s="23" t="str"/>
      <x:c r="E93" s="23" t="str">
        <x:v>Discount limit</x:v>
      </x:c>
      <x:c r="F93" s="23" t="str">
        <x:v>Functional</x:v>
      </x:c>
      <x:c r="G93" s="23" t="str">
        <x:v>Billing Cashier</x:v>
      </x:c>
      <x:c r="H93" s="23" t="str">
        <x:v>Medium</x:v>
      </x:c>
      <x:c r="I93" s="23" t="str">
        <x:v>No</x:v>
      </x:c>
      <x:c r="J93" s="23" t="str"/>
      <x:c r="K93" s="23" t="str">
        <x:v>Required master data and user exist.</x:v>
      </x:c>
      <x:c r="L93" s="23" t="str">
        <x:v>Use dedicated non-production test data.</x:v>
      </x:c>
      <x:c r="M93" s="23" t="str">
        <x:v>1. Sign in as Billing Cashier. 2. Apply an excessive or unauthorized discount. 3. Save or submit. 4. Refresh or reopen the record. 5. Compare the result with the pass condition.</x:v>
      </x:c>
      <x:c r="N93" s="23" t="str">
        <x:v>Action is blocked and audited.</x:v>
      </x:c>
      <x:c r="O93" s="26" t="str">
        <x:v>Not Run</x:v>
      </x:c>
      <x:c r="P93" s="26" t="str"/>
      <x:c r="Q93" s="26" t="str"/>
      <x:c r="R93" s="26" t="str"/>
      <x:c r="S93" s="26" t="str"/>
      <x:c r="T93" s="26" t="str"/>
      <x:c r="U93" s="26" t="str">
        <x:v>QA</x:v>
      </x:c>
      <x:c r="V93" s="26" t="str"/>
      <x:c r="W93" s="29" t="str"/>
      <x:c r="X93" s="26" t="str"/>
      <x:c r="Y93" s="26" t="str">
        <x:v>Not Required</x:v>
      </x:c>
      <x:c r="Z93" s="26" t="str"/>
      <x:c r="AA93" s="28" t="n">
        <x:f>IF(OR(O93="Passed",O93="Failed",O93="Blocked"),1,0)</x:f>
        <x:v>0</x:v>
      </x:c>
      <x:c r="AB93" s="28" t="n">
        <x:f>IF(O93="Passed",1,0)</x:f>
        <x:v>0</x:v>
      </x:c>
      <x:c r="AC93" s="28" t="n">
        <x:f>IF(AND(OR(R93="Critical",R93="High"),OR(O93="Failed",O93="Blocked"),S93&lt;&gt;"Closed",S93&lt;&gt;"Rejected"),1,0)</x:f>
        <x:v>0</x:v>
      </x:c>
      <x:c r="AD93" s="28" t="n">
        <x:f>IF(X93&lt;&gt;"",1,0)</x:f>
        <x:v>0</x:v>
      </x:c>
      <x:c r="AE93" s="28" t="n">
        <x:f>IF(J93&lt;&gt;"",1,0)</x:f>
        <x:v>0</x:v>
      </x:c>
    </x:row>
    <x:row r="94">
      <x:c r="A94" s="23" t="str">
        <x:v>L2-063</x:v>
      </x:c>
      <x:c r="B94" s="23" t="str">
        <x:v>Level 2</x:v>
      </x:c>
      <x:c r="C94" s="23" t="str">
        <x:v>Billing &amp; Payments</x:v>
      </x:c>
      <x:c r="D94" s="23" t="str"/>
      <x:c r="E94" s="23" t="str">
        <x:v>Tax calculation</x:v>
      </x:c>
      <x:c r="F94" s="23" t="str">
        <x:v>Functional</x:v>
      </x:c>
      <x:c r="G94" s="23" t="str">
        <x:v>Billing Cashier</x:v>
      </x:c>
      <x:c r="H94" s="23" t="str">
        <x:v>Medium</x:v>
      </x:c>
      <x:c r="I94" s="23" t="str">
        <x:v>No</x:v>
      </x:c>
      <x:c r="J94" s="23" t="str"/>
      <x:c r="K94" s="23" t="str">
        <x:v>Required master data and user exist.</x:v>
      </x:c>
      <x:c r="L94" s="23" t="str">
        <x:v>Use dedicated non-production test data.</x:v>
      </x:c>
      <x:c r="M94" s="23" t="str">
        <x:v>1. Sign in as Billing Cashier. 2. Apply configured tax. 3. Save or submit. 4. Refresh or reopen the record. 5. Compare the result with the pass condition.</x:v>
      </x:c>
      <x:c r="N94" s="23" t="str">
        <x:v>Tax rounding and final total are correct.</x:v>
      </x:c>
      <x:c r="O94" s="26" t="str">
        <x:v>Not Run</x:v>
      </x:c>
      <x:c r="P94" s="26" t="str"/>
      <x:c r="Q94" s="26" t="str"/>
      <x:c r="R94" s="26" t="str"/>
      <x:c r="S94" s="26" t="str"/>
      <x:c r="T94" s="26" t="str"/>
      <x:c r="U94" s="26" t="str">
        <x:v>QA</x:v>
      </x:c>
      <x:c r="V94" s="26" t="str"/>
      <x:c r="W94" s="29" t="str"/>
      <x:c r="X94" s="26" t="str"/>
      <x:c r="Y94" s="26" t="str">
        <x:v>Not Required</x:v>
      </x:c>
      <x:c r="Z94" s="26" t="str"/>
      <x:c r="AA94" s="28" t="n">
        <x:f>IF(OR(O94="Passed",O94="Failed",O94="Blocked"),1,0)</x:f>
        <x:v>0</x:v>
      </x:c>
      <x:c r="AB94" s="28" t="n">
        <x:f>IF(O94="Passed",1,0)</x:f>
        <x:v>0</x:v>
      </x:c>
      <x:c r="AC94" s="28" t="n">
        <x:f>IF(AND(OR(R94="Critical",R94="High"),OR(O94="Failed",O94="Blocked"),S94&lt;&gt;"Closed",S94&lt;&gt;"Rejected"),1,0)</x:f>
        <x:v>0</x:v>
      </x:c>
      <x:c r="AD94" s="28" t="n">
        <x:f>IF(X94&lt;&gt;"",1,0)</x:f>
        <x:v>0</x:v>
      </x:c>
      <x:c r="AE94" s="28" t="n">
        <x:f>IF(J94&lt;&gt;"",1,0)</x:f>
        <x:v>0</x:v>
      </x:c>
    </x:row>
    <x:row r="95">
      <x:c r="A95" s="23" t="str">
        <x:v>L2-064</x:v>
      </x:c>
      <x:c r="B95" s="23" t="str">
        <x:v>Level 2</x:v>
      </x:c>
      <x:c r="C95" s="23" t="str">
        <x:v>Billing &amp; Payments</x:v>
      </x:c>
      <x:c r="D95" s="23" t="str"/>
      <x:c r="E95" s="23" t="str">
        <x:v>Zero/negative amount</x:v>
      </x:c>
      <x:c r="F95" s="23" t="str">
        <x:v>Functional</x:v>
      </x:c>
      <x:c r="G95" s="23" t="str">
        <x:v>Billing Cashier</x:v>
      </x:c>
      <x:c r="H95" s="23" t="str">
        <x:v>Medium</x:v>
      </x:c>
      <x:c r="I95" s="23" t="str">
        <x:v>No</x:v>
      </x:c>
      <x:c r="J95" s="23" t="str"/>
      <x:c r="K95" s="23" t="str">
        <x:v>Required master data and user exist.</x:v>
      </x:c>
      <x:c r="L95" s="23" t="str">
        <x:v>Use dedicated non-production test data.</x:v>
      </x:c>
      <x:c r="M95" s="23" t="str">
        <x:v>1. Sign in as Billing Cashier. 2. Try invalid price, discount or payment values. 3. Save or submit. 4. Refresh or reopen the record. 5. Compare the result with the pass condition.</x:v>
      </x:c>
      <x:c r="N95" s="23" t="str">
        <x:v>Invalid values are blocked.</x:v>
      </x:c>
      <x:c r="O95" s="26" t="str">
        <x:v>Not Run</x:v>
      </x:c>
      <x:c r="P95" s="26" t="str"/>
      <x:c r="Q95" s="26" t="str"/>
      <x:c r="R95" s="26" t="str"/>
      <x:c r="S95" s="26" t="str"/>
      <x:c r="T95" s="26" t="str"/>
      <x:c r="U95" s="26" t="str">
        <x:v>QA</x:v>
      </x:c>
      <x:c r="V95" s="26" t="str"/>
      <x:c r="W95" s="29" t="str"/>
      <x:c r="X95" s="26" t="str"/>
      <x:c r="Y95" s="26" t="str">
        <x:v>Not Required</x:v>
      </x:c>
      <x:c r="Z95" s="26" t="str"/>
      <x:c r="AA95" s="28" t="n">
        <x:f>IF(OR(O95="Passed",O95="Failed",O95="Blocked"),1,0)</x:f>
        <x:v>0</x:v>
      </x:c>
      <x:c r="AB95" s="28" t="n">
        <x:f>IF(O95="Passed",1,0)</x:f>
        <x:v>0</x:v>
      </x:c>
      <x:c r="AC95" s="28" t="n">
        <x:f>IF(AND(OR(R95="Critical",R95="High"),OR(O95="Failed",O95="Blocked"),S95&lt;&gt;"Closed",S95&lt;&gt;"Rejected"),1,0)</x:f>
        <x:v>0</x:v>
      </x:c>
      <x:c r="AD95" s="28" t="n">
        <x:f>IF(X95&lt;&gt;"",1,0)</x:f>
        <x:v>0</x:v>
      </x:c>
      <x:c r="AE95" s="28" t="n">
        <x:f>IF(J95&lt;&gt;"",1,0)</x:f>
        <x:v>0</x:v>
      </x:c>
    </x:row>
    <x:row r="96">
      <x:c r="A96" s="23" t="str">
        <x:v>L2-065</x:v>
      </x:c>
      <x:c r="B96" s="23" t="str">
        <x:v>Level 2</x:v>
      </x:c>
      <x:c r="C96" s="23" t="str">
        <x:v>Billing &amp; Payments</x:v>
      </x:c>
      <x:c r="D96" s="23" t="str"/>
      <x:c r="E96" s="23" t="str">
        <x:v>Full payment</x:v>
      </x:c>
      <x:c r="F96" s="23" t="str">
        <x:v>Functional</x:v>
      </x:c>
      <x:c r="G96" s="23" t="str">
        <x:v>Billing Cashier</x:v>
      </x:c>
      <x:c r="H96" s="23" t="str">
        <x:v>Medium</x:v>
      </x:c>
      <x:c r="I96" s="23" t="str">
        <x:v>No</x:v>
      </x:c>
      <x:c r="J96" s="23" t="str"/>
      <x:c r="K96" s="23" t="str">
        <x:v>Required master data and user exist.</x:v>
      </x:c>
      <x:c r="L96" s="23" t="str">
        <x:v>Use dedicated non-production test data.</x:v>
      </x:c>
      <x:c r="M96" s="23" t="str">
        <x:v>1. Sign in as Billing Cashier. 2. Pay the exact remaining amount. 3. Save or submit. 4. Refresh or reopen the record. 5. Compare the result with the pass condition.</x:v>
      </x:c>
      <x:c r="N96" s="23" t="str">
        <x:v>Status becomes Paid and receipt/journal are created.</x:v>
      </x:c>
      <x:c r="O96" s="26" t="str">
        <x:v>Not Run</x:v>
      </x:c>
      <x:c r="P96" s="26" t="str"/>
      <x:c r="Q96" s="26" t="str"/>
      <x:c r="R96" s="26" t="str"/>
      <x:c r="S96" s="26" t="str"/>
      <x:c r="T96" s="26" t="str"/>
      <x:c r="U96" s="26" t="str">
        <x:v>QA</x:v>
      </x:c>
      <x:c r="V96" s="26" t="str"/>
      <x:c r="W96" s="29" t="str"/>
      <x:c r="X96" s="26" t="str"/>
      <x:c r="Y96" s="26" t="str">
        <x:v>Not Required</x:v>
      </x:c>
      <x:c r="Z96" s="26" t="str"/>
      <x:c r="AA96" s="28" t="n">
        <x:f>IF(OR(O96="Passed",O96="Failed",O96="Blocked"),1,0)</x:f>
        <x:v>0</x:v>
      </x:c>
      <x:c r="AB96" s="28" t="n">
        <x:f>IF(O96="Passed",1,0)</x:f>
        <x:v>0</x:v>
      </x:c>
      <x:c r="AC96" s="28" t="n">
        <x:f>IF(AND(OR(R96="Critical",R96="High"),OR(O96="Failed",O96="Blocked"),S96&lt;&gt;"Closed",S96&lt;&gt;"Rejected"),1,0)</x:f>
        <x:v>0</x:v>
      </x:c>
      <x:c r="AD96" s="28" t="n">
        <x:f>IF(X96&lt;&gt;"",1,0)</x:f>
        <x:v>0</x:v>
      </x:c>
      <x:c r="AE96" s="28" t="n">
        <x:f>IF(J96&lt;&gt;"",1,0)</x:f>
        <x:v>0</x:v>
      </x:c>
    </x:row>
    <x:row r="97">
      <x:c r="A97" s="23" t="str">
        <x:v>L2-066</x:v>
      </x:c>
      <x:c r="B97" s="23" t="str">
        <x:v>Level 2</x:v>
      </x:c>
      <x:c r="C97" s="23" t="str">
        <x:v>Billing &amp; Payments</x:v>
      </x:c>
      <x:c r="D97" s="23" t="str"/>
      <x:c r="E97" s="23" t="str">
        <x:v>Partial payment</x:v>
      </x:c>
      <x:c r="F97" s="23" t="str">
        <x:v>Functional</x:v>
      </x:c>
      <x:c r="G97" s="23" t="str">
        <x:v>Billing Cashier</x:v>
      </x:c>
      <x:c r="H97" s="23" t="str">
        <x:v>Medium</x:v>
      </x:c>
      <x:c r="I97" s="23" t="str">
        <x:v>No</x:v>
      </x:c>
      <x:c r="J97" s="23" t="str"/>
      <x:c r="K97" s="23" t="str">
        <x:v>Required master data and user exist.</x:v>
      </x:c>
      <x:c r="L97" s="23" t="str">
        <x:v>Use dedicated non-production test data.</x:v>
      </x:c>
      <x:c r="M97" s="23" t="str">
        <x:v>1. Sign in as Billing Cashier. 2. Pay less than the balance. 3. Save or submit. 4. Refresh or reopen the record. 5. Compare the result with the pass condition.</x:v>
      </x:c>
      <x:c r="N97" s="23" t="str">
        <x:v>Status becomes Partial and due is correct.</x:v>
      </x:c>
      <x:c r="O97" s="26" t="str">
        <x:v>Not Run</x:v>
      </x:c>
      <x:c r="P97" s="26" t="str"/>
      <x:c r="Q97" s="26" t="str"/>
      <x:c r="R97" s="26" t="str"/>
      <x:c r="S97" s="26" t="str"/>
      <x:c r="T97" s="26" t="str"/>
      <x:c r="U97" s="26" t="str">
        <x:v>QA</x:v>
      </x:c>
      <x:c r="V97" s="26" t="str"/>
      <x:c r="W97" s="29" t="str"/>
      <x:c r="X97" s="26" t="str"/>
      <x:c r="Y97" s="26" t="str">
        <x:v>Not Required</x:v>
      </x:c>
      <x:c r="Z97" s="26" t="str"/>
      <x:c r="AA97" s="28" t="n">
        <x:f>IF(OR(O97="Passed",O97="Failed",O97="Blocked"),1,0)</x:f>
        <x:v>0</x:v>
      </x:c>
      <x:c r="AB97" s="28" t="n">
        <x:f>IF(O97="Passed",1,0)</x:f>
        <x:v>0</x:v>
      </x:c>
      <x:c r="AC97" s="28" t="n">
        <x:f>IF(AND(OR(R97="Critical",R97="High"),OR(O97="Failed",O97="Blocked"),S97&lt;&gt;"Closed",S97&lt;&gt;"Rejected"),1,0)</x:f>
        <x:v>0</x:v>
      </x:c>
      <x:c r="AD97" s="28" t="n">
        <x:f>IF(X97&lt;&gt;"",1,0)</x:f>
        <x:v>0</x:v>
      </x:c>
      <x:c r="AE97" s="28" t="n">
        <x:f>IF(J97&lt;&gt;"",1,0)</x:f>
        <x:v>0</x:v>
      </x:c>
    </x:row>
    <x:row r="98">
      <x:c r="A98" s="23" t="str">
        <x:v>L2-067</x:v>
      </x:c>
      <x:c r="B98" s="23" t="str">
        <x:v>Level 2</x:v>
      </x:c>
      <x:c r="C98" s="23" t="str">
        <x:v>Billing &amp; Payments</x:v>
      </x:c>
      <x:c r="D98" s="23" t="str"/>
      <x:c r="E98" s="23" t="str">
        <x:v>Multiple modes</x:v>
      </x:c>
      <x:c r="F98" s="23" t="str">
        <x:v>Functional</x:v>
      </x:c>
      <x:c r="G98" s="23" t="str">
        <x:v>Billing Cashier</x:v>
      </x:c>
      <x:c r="H98" s="23" t="str">
        <x:v>Medium</x:v>
      </x:c>
      <x:c r="I98" s="23" t="str">
        <x:v>No</x:v>
      </x:c>
      <x:c r="J98" s="23" t="str"/>
      <x:c r="K98" s="23" t="str">
        <x:v>Required master data and user exist.</x:v>
      </x:c>
      <x:c r="L98" s="23" t="str">
        <x:v>Use dedicated non-production test data.</x:v>
      </x:c>
      <x:c r="M98" s="23" t="str">
        <x:v>1. Sign in as Billing Cashier. 2. Pay using cash, card, UPI, cheque and corporate credit. 3. Save or submit. 4. Refresh or reopen the record. 5. Compare the result with the pass condition.</x:v>
      </x:c>
      <x:c r="N98" s="23" t="str">
        <x:v>Mode breakdown and history are correct.</x:v>
      </x:c>
      <x:c r="O98" s="26" t="str">
        <x:v>Not Run</x:v>
      </x:c>
      <x:c r="P98" s="26" t="str"/>
      <x:c r="Q98" s="26" t="str"/>
      <x:c r="R98" s="26" t="str"/>
      <x:c r="S98" s="26" t="str"/>
      <x:c r="T98" s="26" t="str"/>
      <x:c r="U98" s="26" t="str">
        <x:v>QA</x:v>
      </x:c>
      <x:c r="V98" s="26" t="str"/>
      <x:c r="W98" s="29" t="str"/>
      <x:c r="X98" s="26" t="str"/>
      <x:c r="Y98" s="26" t="str">
        <x:v>Not Required</x:v>
      </x:c>
      <x:c r="Z98" s="26" t="str"/>
      <x:c r="AA98" s="28" t="n">
        <x:f>IF(OR(O98="Passed",O98="Failed",O98="Blocked"),1,0)</x:f>
        <x:v>0</x:v>
      </x:c>
      <x:c r="AB98" s="28" t="n">
        <x:f>IF(O98="Passed",1,0)</x:f>
        <x:v>0</x:v>
      </x:c>
      <x:c r="AC98" s="28" t="n">
        <x:f>IF(AND(OR(R98="Critical",R98="High"),OR(O98="Failed",O98="Blocked"),S98&lt;&gt;"Closed",S98&lt;&gt;"Rejected"),1,0)</x:f>
        <x:v>0</x:v>
      </x:c>
      <x:c r="AD98" s="28" t="n">
        <x:f>IF(X98&lt;&gt;"",1,0)</x:f>
        <x:v>0</x:v>
      </x:c>
      <x:c r="AE98" s="28" t="n">
        <x:f>IF(J98&lt;&gt;"",1,0)</x:f>
        <x:v>0</x:v>
      </x:c>
    </x:row>
    <x:row r="99">
      <x:c r="A99" s="23" t="str">
        <x:v>L2-068</x:v>
      </x:c>
      <x:c r="B99" s="23" t="str">
        <x:v>Level 2</x:v>
      </x:c>
      <x:c r="C99" s="23" t="str">
        <x:v>Billing &amp; Payments</x:v>
      </x:c>
      <x:c r="D99" s="23" t="str"/>
      <x:c r="E99" s="23" t="str">
        <x:v>Overpayment</x:v>
      </x:c>
      <x:c r="F99" s="23" t="str">
        <x:v>Functional</x:v>
      </x:c>
      <x:c r="G99" s="23" t="str">
        <x:v>Billing Cashier</x:v>
      </x:c>
      <x:c r="H99" s="23" t="str">
        <x:v>Medium</x:v>
      </x:c>
      <x:c r="I99" s="23" t="str">
        <x:v>No</x:v>
      </x:c>
      <x:c r="J99" s="23" t="str"/>
      <x:c r="K99" s="23" t="str">
        <x:v>Required master data and user exist.</x:v>
      </x:c>
      <x:c r="L99" s="23" t="str">
        <x:v>Use dedicated non-production test data.</x:v>
      </x:c>
      <x:c r="M99" s="23" t="str">
        <x:v>1. Sign in as Billing Cashier. 2. Pay more than the balance. 3. Save or submit. 4. Refresh or reopen the record. 5. Compare the result with the pass condition.</x:v>
      </x:c>
      <x:c r="N99" s="23" t="str">
        <x:v>Payment is blocked with no partial posting.</x:v>
      </x:c>
      <x:c r="O99" s="26" t="str">
        <x:v>Not Run</x:v>
      </x:c>
      <x:c r="P99" s="26" t="str"/>
      <x:c r="Q99" s="26" t="str"/>
      <x:c r="R99" s="26" t="str"/>
      <x:c r="S99" s="26" t="str"/>
      <x:c r="T99" s="26" t="str"/>
      <x:c r="U99" s="26" t="str">
        <x:v>QA</x:v>
      </x:c>
      <x:c r="V99" s="26" t="str"/>
      <x:c r="W99" s="29" t="str"/>
      <x:c r="X99" s="26" t="str"/>
      <x:c r="Y99" s="26" t="str">
        <x:v>Not Required</x:v>
      </x:c>
      <x:c r="Z99" s="26" t="str"/>
      <x:c r="AA99" s="28" t="n">
        <x:f>IF(OR(O99="Passed",O99="Failed",O99="Blocked"),1,0)</x:f>
        <x:v>0</x:v>
      </x:c>
      <x:c r="AB99" s="28" t="n">
        <x:f>IF(O99="Passed",1,0)</x:f>
        <x:v>0</x:v>
      </x:c>
      <x:c r="AC99" s="28" t="n">
        <x:f>IF(AND(OR(R99="Critical",R99="High"),OR(O99="Failed",O99="Blocked"),S99&lt;&gt;"Closed",S99&lt;&gt;"Rejected"),1,0)</x:f>
        <x:v>0</x:v>
      </x:c>
      <x:c r="AD99" s="28" t="n">
        <x:f>IF(X99&lt;&gt;"",1,0)</x:f>
        <x:v>0</x:v>
      </x:c>
      <x:c r="AE99" s="28" t="n">
        <x:f>IF(J99&lt;&gt;"",1,0)</x:f>
        <x:v>0</x:v>
      </x:c>
    </x:row>
    <x:row r="100">
      <x:c r="A100" s="23" t="str">
        <x:v>L2-069</x:v>
      </x:c>
      <x:c r="B100" s="23" t="str">
        <x:v>Level 2</x:v>
      </x:c>
      <x:c r="C100" s="23" t="str">
        <x:v>Billing &amp; Payments</x:v>
      </x:c>
      <x:c r="D100" s="23" t="str"/>
      <x:c r="E100" s="23" t="str">
        <x:v>Duplicate submission</x:v>
      </x:c>
      <x:c r="F100" s="23" t="str">
        <x:v>Integration</x:v>
      </x:c>
      <x:c r="G100" s="23" t="str">
        <x:v>Billing Cashier</x:v>
      </x:c>
      <x:c r="H100" s="23" t="str">
        <x:v>Critical</x:v>
      </x:c>
      <x:c r="I100" s="23" t="str">
        <x:v>Yes</x:v>
      </x:c>
      <x:c r="J100" s="23" t="str"/>
      <x:c r="K100" s="23" t="str">
        <x:v>Required master data and user exist.</x:v>
      </x:c>
      <x:c r="L100" s="23" t="str">
        <x:v>Use dedicated non-production test data.</x:v>
      </x:c>
      <x:c r="M100" s="23" t="str">
        <x:v>1. Sign in as Billing Cashier. 2. Double-click or repeat the same payment request. 3. Save or submit. 4. Refresh or reopen the record. 5. Compare the result with the pass condition.</x:v>
      </x:c>
      <x:c r="N100" s="23" t="str">
        <x:v>Only one payment/receipt is created.</x:v>
      </x:c>
      <x:c r="O100" s="26" t="str">
        <x:v>Not Run</x:v>
      </x:c>
      <x:c r="P100" s="26" t="str"/>
      <x:c r="Q100" s="26" t="str"/>
      <x:c r="R100" s="26" t="str"/>
      <x:c r="S100" s="26" t="str"/>
      <x:c r="T100" s="26" t="str"/>
      <x:c r="U100" s="26" t="str">
        <x:v>QA</x:v>
      </x:c>
      <x:c r="V100" s="26" t="str"/>
      <x:c r="W100" s="29" t="str"/>
      <x:c r="X100" s="26" t="str"/>
      <x:c r="Y100" s="26" t="str">
        <x:v>Not Required</x:v>
      </x:c>
      <x:c r="Z100" s="26" t="str"/>
      <x:c r="AA100" s="28" t="n">
        <x:f>IF(OR(O100="Passed",O100="Failed",O100="Blocked"),1,0)</x:f>
        <x:v>0</x:v>
      </x:c>
      <x:c r="AB100" s="28" t="n">
        <x:f>IF(O100="Passed",1,0)</x:f>
        <x:v>0</x:v>
      </x:c>
      <x:c r="AC100" s="28" t="n">
        <x:f>IF(AND(OR(R100="Critical",R100="High"),OR(O100="Failed",O100="Blocked"),S100&lt;&gt;"Closed",S100&lt;&gt;"Rejected"),1,0)</x:f>
        <x:v>0</x:v>
      </x:c>
      <x:c r="AD100" s="28" t="n">
        <x:f>IF(X100&lt;&gt;"",1,0)</x:f>
        <x:v>0</x:v>
      </x:c>
      <x:c r="AE100" s="28" t="n">
        <x:f>IF(J100&lt;&gt;"",1,0)</x:f>
        <x:v>0</x:v>
      </x:c>
    </x:row>
    <x:row r="101">
      <x:c r="A101" s="23" t="str">
        <x:v>L2-070</x:v>
      </x:c>
      <x:c r="B101" s="23" t="str">
        <x:v>Level 2</x:v>
      </x:c>
      <x:c r="C101" s="23" t="str">
        <x:v>Billing &amp; Payments</x:v>
      </x:c>
      <x:c r="D101" s="23" t="str"/>
      <x:c r="E101" s="23" t="str">
        <x:v>Cancellation reason</x:v>
      </x:c>
      <x:c r="F101" s="23" t="str">
        <x:v>Functional</x:v>
      </x:c>
      <x:c r="G101" s="23" t="str">
        <x:v>Billing Cashier</x:v>
      </x:c>
      <x:c r="H101" s="23" t="str">
        <x:v>Medium</x:v>
      </x:c>
      <x:c r="I101" s="23" t="str">
        <x:v>No</x:v>
      </x:c>
      <x:c r="J101" s="23" t="str"/>
      <x:c r="K101" s="23" t="str">
        <x:v>Required master data and user exist.</x:v>
      </x:c>
      <x:c r="L101" s="23" t="str">
        <x:v>Use dedicated non-production test data.</x:v>
      </x:c>
      <x:c r="M101" s="23" t="str">
        <x:v>1. Sign in as Billing Cashier. 2. Cancel a bill without and with a reason. 3. Save or submit. 4. Refresh or reopen the record. 5. Compare the result with the pass condition.</x:v>
      </x:c>
      <x:c r="N101" s="23" t="str">
        <x:v>Reason is required and downstream behavior follows policy.</x:v>
      </x:c>
      <x:c r="O101" s="26" t="str">
        <x:v>Not Run</x:v>
      </x:c>
      <x:c r="P101" s="26" t="str"/>
      <x:c r="Q101" s="26" t="str"/>
      <x:c r="R101" s="26" t="str"/>
      <x:c r="S101" s="26" t="str"/>
      <x:c r="T101" s="26" t="str"/>
      <x:c r="U101" s="26" t="str">
        <x:v>QA</x:v>
      </x:c>
      <x:c r="V101" s="26" t="str"/>
      <x:c r="W101" s="29" t="str"/>
      <x:c r="X101" s="26" t="str"/>
      <x:c r="Y101" s="26" t="str">
        <x:v>Not Required</x:v>
      </x:c>
      <x:c r="Z101" s="26" t="str"/>
      <x:c r="AA101" s="28" t="n">
        <x:f>IF(OR(O101="Passed",O101="Failed",O101="Blocked"),1,0)</x:f>
        <x:v>0</x:v>
      </x:c>
      <x:c r="AB101" s="28" t="n">
        <x:f>IF(O101="Passed",1,0)</x:f>
        <x:v>0</x:v>
      </x:c>
      <x:c r="AC101" s="28" t="n">
        <x:f>IF(AND(OR(R101="Critical",R101="High"),OR(O101="Failed",O101="Blocked"),S101&lt;&gt;"Closed",S101&lt;&gt;"Rejected"),1,0)</x:f>
        <x:v>0</x:v>
      </x:c>
      <x:c r="AD101" s="28" t="n">
        <x:f>IF(X101&lt;&gt;"",1,0)</x:f>
        <x:v>0</x:v>
      </x:c>
      <x:c r="AE101" s="28" t="n">
        <x:f>IF(J101&lt;&gt;"",1,0)</x:f>
        <x:v>0</x:v>
      </x:c>
    </x:row>
    <x:row r="102">
      <x:c r="A102" s="23" t="str">
        <x:v>L2-071</x:v>
      </x:c>
      <x:c r="B102" s="23" t="str">
        <x:v>Level 2</x:v>
      </x:c>
      <x:c r="C102" s="23" t="str">
        <x:v>Billing &amp; Payments</x:v>
      </x:c>
      <x:c r="D102" s="23" t="str"/>
      <x:c r="E102" s="23" t="str">
        <x:v>Refund</x:v>
      </x:c>
      <x:c r="F102" s="23" t="str">
        <x:v>Functional</x:v>
      </x:c>
      <x:c r="G102" s="23" t="str">
        <x:v>Billing Cashier</x:v>
      </x:c>
      <x:c r="H102" s="23" t="str">
        <x:v>Critical</x:v>
      </x:c>
      <x:c r="I102" s="23" t="str">
        <x:v>Yes</x:v>
      </x:c>
      <x:c r="J102" s="23" t="str">
        <x:v>Refund-flow polish</x:v>
      </x:c>
      <x:c r="K102" s="23" t="str">
        <x:v>Required master data and user exist.</x:v>
      </x:c>
      <x:c r="L102" s="23" t="str">
        <x:v>Use dedicated non-production test data.</x:v>
      </x:c>
      <x:c r="M102" s="23" t="str">
        <x:v>1. Sign in as Billing Cashier. 2. Refund a paid/cancelled bill. 3. Save or submit. 4. Refresh or reopen the record. 5. Compare the result with the pass condition.</x:v>
      </x:c>
      <x:c r="N102" s="23" t="str">
        <x:v>Authorized refund reverses amounts and records history.</x:v>
      </x:c>
      <x:c r="O102" s="26" t="str">
        <x:v>Not Run</x:v>
      </x:c>
      <x:c r="P102" s="26" t="str"/>
      <x:c r="Q102" s="26" t="str"/>
      <x:c r="R102" s="26" t="str"/>
      <x:c r="S102" s="26" t="str"/>
      <x:c r="T102" s="26" t="str"/>
      <x:c r="U102" s="26" t="str">
        <x:v>QA</x:v>
      </x:c>
      <x:c r="V102" s="26" t="str"/>
      <x:c r="W102" s="29" t="str"/>
      <x:c r="X102" s="26" t="str"/>
      <x:c r="Y102" s="26" t="str">
        <x:v>Not Required</x:v>
      </x:c>
      <x:c r="Z102" s="26" t="str"/>
      <x:c r="AA102" s="28" t="n">
        <x:f>IF(OR(O102="Passed",O102="Failed",O102="Blocked"),1,0)</x:f>
        <x:v>0</x:v>
      </x:c>
      <x:c r="AB102" s="28" t="n">
        <x:f>IF(O102="Passed",1,0)</x:f>
        <x:v>0</x:v>
      </x:c>
      <x:c r="AC102" s="28" t="n">
        <x:f>IF(AND(OR(R102="Critical",R102="High"),OR(O102="Failed",O102="Blocked"),S102&lt;&gt;"Closed",S102&lt;&gt;"Rejected"),1,0)</x:f>
        <x:v>0</x:v>
      </x:c>
      <x:c r="AD102" s="28" t="n">
        <x:f>IF(X102&lt;&gt;"",1,0)</x:f>
        <x:v>0</x:v>
      </x:c>
      <x:c r="AE102" s="28" t="n">
        <x:f>IF(J102&lt;&gt;"",1,0)</x:f>
        <x:v>1</x:v>
      </x:c>
    </x:row>
    <x:row r="103">
      <x:c r="A103" s="23" t="str">
        <x:v>L2-072</x:v>
      </x:c>
      <x:c r="B103" s="23" t="str">
        <x:v>Level 2</x:v>
      </x:c>
      <x:c r="C103" s="23" t="str">
        <x:v>Billing &amp; Payments</x:v>
      </x:c>
      <x:c r="D103" s="23" t="str"/>
      <x:c r="E103" s="23" t="str">
        <x:v>Daily close</x:v>
      </x:c>
      <x:c r="F103" s="23" t="str">
        <x:v>Functional</x:v>
      </x:c>
      <x:c r="G103" s="23" t="str">
        <x:v>Billing Cashier</x:v>
      </x:c>
      <x:c r="H103" s="23" t="str">
        <x:v>High</x:v>
      </x:c>
      <x:c r="I103" s="23" t="str">
        <x:v>No</x:v>
      </x:c>
      <x:c r="J103" s="23" t="str">
        <x:v>Daily close and reconciliation</x:v>
      </x:c>
      <x:c r="K103" s="23" t="str">
        <x:v>Required master data and user exist.</x:v>
      </x:c>
      <x:c r="L103" s="23" t="str">
        <x:v>Use dedicated non-production test data.</x:v>
      </x:c>
      <x:c r="M103" s="23" t="str">
        <x:v>1. Sign in as Billing Cashier. 2. Close the day and try late changes. 3. Save or submit. 4. Refresh or reopen the record. 5. Compare the result with the pass condition.</x:v>
      </x:c>
      <x:c r="N103" s="23" t="str">
        <x:v>Close/reopen policy and totals are enforced.</x:v>
      </x:c>
      <x:c r="O103" s="26" t="str">
        <x:v>Not Run</x:v>
      </x:c>
      <x:c r="P103" s="26" t="str"/>
      <x:c r="Q103" s="26" t="str"/>
      <x:c r="R103" s="26" t="str"/>
      <x:c r="S103" s="26" t="str"/>
      <x:c r="T103" s="26" t="str"/>
      <x:c r="U103" s="26" t="str">
        <x:v>QA</x:v>
      </x:c>
      <x:c r="V103" s="26" t="str"/>
      <x:c r="W103" s="29" t="str"/>
      <x:c r="X103" s="26" t="str"/>
      <x:c r="Y103" s="26" t="str">
        <x:v>Not Required</x:v>
      </x:c>
      <x:c r="Z103" s="26" t="str"/>
      <x:c r="AA103" s="28" t="n">
        <x:f>IF(OR(O103="Passed",O103="Failed",O103="Blocked"),1,0)</x:f>
        <x:v>0</x:v>
      </x:c>
      <x:c r="AB103" s="28" t="n">
        <x:f>IF(O103="Passed",1,0)</x:f>
        <x:v>0</x:v>
      </x:c>
      <x:c r="AC103" s="28" t="n">
        <x:f>IF(AND(OR(R103="Critical",R103="High"),OR(O103="Failed",O103="Blocked"),S103&lt;&gt;"Closed",S103&lt;&gt;"Rejected"),1,0)</x:f>
        <x:v>0</x:v>
      </x:c>
      <x:c r="AD103" s="28" t="n">
        <x:f>IF(X103&lt;&gt;"",1,0)</x:f>
        <x:v>0</x:v>
      </x:c>
      <x:c r="AE103" s="28" t="n">
        <x:f>IF(J103&lt;&gt;"",1,0)</x:f>
        <x:v>1</x:v>
      </x:c>
    </x:row>
    <x:row r="104">
      <x:c r="A104" s="23" t="str">
        <x:v>L2-073</x:v>
      </x:c>
      <x:c r="B104" s="23" t="str">
        <x:v>Level 2</x:v>
      </x:c>
      <x:c r="C104" s="23" t="str">
        <x:v>Billing &amp; Payments</x:v>
      </x:c>
      <x:c r="D104" s="23" t="str"/>
      <x:c r="E104" s="23" t="str">
        <x:v>Corporate credit</x:v>
      </x:c>
      <x:c r="F104" s="23" t="str">
        <x:v>Functional</x:v>
      </x:c>
      <x:c r="G104" s="23" t="str">
        <x:v>Billing Cashier</x:v>
      </x:c>
      <x:c r="H104" s="23" t="str">
        <x:v>Medium</x:v>
      </x:c>
      <x:c r="I104" s="23" t="str">
        <x:v>No</x:v>
      </x:c>
      <x:c r="J104" s="23" t="str"/>
      <x:c r="K104" s="23" t="str">
        <x:v>Required master data and user exist.</x:v>
      </x:c>
      <x:c r="L104" s="23" t="str">
        <x:v>Use dedicated non-production test data.</x:v>
      </x:c>
      <x:c r="M104" s="23" t="str">
        <x:v>1. Sign in as Billing Cashier. 2. Bill an active corporate account. 3. Save or submit. 4. Refresh or reopen the record. 5. Compare the result with the pass condition.</x:v>
      </x:c>
      <x:c r="N104" s="23" t="str">
        <x:v>Receivable and statement are correct.</x:v>
      </x:c>
      <x:c r="O104" s="26" t="str">
        <x:v>Not Run</x:v>
      </x:c>
      <x:c r="P104" s="26" t="str"/>
      <x:c r="Q104" s="26" t="str"/>
      <x:c r="R104" s="26" t="str"/>
      <x:c r="S104" s="26" t="str"/>
      <x:c r="T104" s="26" t="str"/>
      <x:c r="U104" s="26" t="str">
        <x:v>QA</x:v>
      </x:c>
      <x:c r="V104" s="26" t="str"/>
      <x:c r="W104" s="29" t="str"/>
      <x:c r="X104" s="26" t="str"/>
      <x:c r="Y104" s="26" t="str">
        <x:v>Not Required</x:v>
      </x:c>
      <x:c r="Z104" s="26" t="str"/>
      <x:c r="AA104" s="28" t="n">
        <x:f>IF(OR(O104="Passed",O104="Failed",O104="Blocked"),1,0)</x:f>
        <x:v>0</x:v>
      </x:c>
      <x:c r="AB104" s="28" t="n">
        <x:f>IF(O104="Passed",1,0)</x:f>
        <x:v>0</x:v>
      </x:c>
      <x:c r="AC104" s="28" t="n">
        <x:f>IF(AND(OR(R104="Critical",R104="High"),OR(O104="Failed",O104="Blocked"),S104&lt;&gt;"Closed",S104&lt;&gt;"Rejected"),1,0)</x:f>
        <x:v>0</x:v>
      </x:c>
      <x:c r="AD104" s="28" t="n">
        <x:f>IF(X104&lt;&gt;"",1,0)</x:f>
        <x:v>0</x:v>
      </x:c>
      <x:c r="AE104" s="28" t="n">
        <x:f>IF(J104&lt;&gt;"",1,0)</x:f>
        <x:v>0</x:v>
      </x:c>
    </x:row>
    <x:row r="105">
      <x:c r="A105" s="23" t="str">
        <x:v>L2-074</x:v>
      </x:c>
      <x:c r="B105" s="23" t="str">
        <x:v>Level 2</x:v>
      </x:c>
      <x:c r="C105" s="23" t="str">
        <x:v>Billing &amp; Payments</x:v>
      </x:c>
      <x:c r="D105" s="23" t="str"/>
      <x:c r="E105" s="23" t="str">
        <x:v>Credit limit</x:v>
      </x:c>
      <x:c r="F105" s="23" t="str">
        <x:v>Functional</x:v>
      </x:c>
      <x:c r="G105" s="23" t="str">
        <x:v>Billing Cashier</x:v>
      </x:c>
      <x:c r="H105" s="23" t="str">
        <x:v>Medium</x:v>
      </x:c>
      <x:c r="I105" s="23" t="str">
        <x:v>No</x:v>
      </x:c>
      <x:c r="J105" s="23" t="str">
        <x:v>Corporate credit-limit alerts</x:v>
      </x:c>
      <x:c r="K105" s="23" t="str">
        <x:v>Required master data and user exist.</x:v>
      </x:c>
      <x:c r="L105" s="23" t="str">
        <x:v>Use dedicated non-production test data.</x:v>
      </x:c>
      <x:c r="M105" s="23" t="str">
        <x:v>1. Sign in as Billing Cashier. 2. Exceed corporate credit limit. 3. Save or submit. 4. Refresh or reopen the record. 5. Compare the result with the pass condition.</x:v>
      </x:c>
      <x:c r="N105" s="23" t="str">
        <x:v>Warning/block follows policy.</x:v>
      </x:c>
      <x:c r="O105" s="26" t="str">
        <x:v>Not Run</x:v>
      </x:c>
      <x:c r="P105" s="26" t="str"/>
      <x:c r="Q105" s="26" t="str"/>
      <x:c r="R105" s="26" t="str"/>
      <x:c r="S105" s="26" t="str"/>
      <x:c r="T105" s="26" t="str"/>
      <x:c r="U105" s="26" t="str">
        <x:v>QA</x:v>
      </x:c>
      <x:c r="V105" s="26" t="str"/>
      <x:c r="W105" s="29" t="str"/>
      <x:c r="X105" s="26" t="str"/>
      <x:c r="Y105" s="26" t="str">
        <x:v>Not Required</x:v>
      </x:c>
      <x:c r="Z105" s="26" t="str"/>
      <x:c r="AA105" s="28" t="n">
        <x:f>IF(OR(O105="Passed",O105="Failed",O105="Blocked"),1,0)</x:f>
        <x:v>0</x:v>
      </x:c>
      <x:c r="AB105" s="28" t="n">
        <x:f>IF(O105="Passed",1,0)</x:f>
        <x:v>0</x:v>
      </x:c>
      <x:c r="AC105" s="28" t="n">
        <x:f>IF(AND(OR(R105="Critical",R105="High"),OR(O105="Failed",O105="Blocked"),S105&lt;&gt;"Closed",S105&lt;&gt;"Rejected"),1,0)</x:f>
        <x:v>0</x:v>
      </x:c>
      <x:c r="AD105" s="28" t="n">
        <x:f>IF(X105&lt;&gt;"",1,0)</x:f>
        <x:v>0</x:v>
      </x:c>
      <x:c r="AE105" s="28" t="n">
        <x:f>IF(J105&lt;&gt;"",1,0)</x:f>
        <x:v>1</x:v>
      </x:c>
    </x:row>
    <x:row r="106">
      <x:c r="A106" s="23" t="str">
        <x:v>L2-075</x:v>
      </x:c>
      <x:c r="B106" s="23" t="str">
        <x:v>Level 2</x:v>
      </x:c>
      <x:c r="C106" s="23" t="str">
        <x:v>Billing &amp; Payments</x:v>
      </x:c>
      <x:c r="D106" s="23" t="str"/>
      <x:c r="E106" s="23" t="str">
        <x:v>Invoice/receipt print</x:v>
      </x:c>
      <x:c r="F106" s="23" t="str">
        <x:v>Functional</x:v>
      </x:c>
      <x:c r="G106" s="23" t="str">
        <x:v>Billing Cashier</x:v>
      </x:c>
      <x:c r="H106" s="23" t="str">
        <x:v>Medium</x:v>
      </x:c>
      <x:c r="I106" s="23" t="str">
        <x:v>No</x:v>
      </x:c>
      <x:c r="J106" s="23" t="str"/>
      <x:c r="K106" s="23" t="str">
        <x:v>Required master data and user exist.</x:v>
      </x:c>
      <x:c r="L106" s="23" t="str">
        <x:v>Use dedicated non-production test data.</x:v>
      </x:c>
      <x:c r="M106" s="23" t="str">
        <x:v>1. Sign in as Billing Cashier. 2. Generate invoice and all receipts. 3. Save or submit. 4. Refresh or reopen the record. 5. Compare the result with the pass condition.</x:v>
      </x:c>
      <x:c r="N106" s="23" t="str">
        <x:v>Patient, lab, totals, IDs and branding are correct.</x:v>
      </x:c>
      <x:c r="O106" s="26" t="str">
        <x:v>Not Run</x:v>
      </x:c>
      <x:c r="P106" s="26" t="str"/>
      <x:c r="Q106" s="26" t="str"/>
      <x:c r="R106" s="26" t="str"/>
      <x:c r="S106" s="26" t="str"/>
      <x:c r="T106" s="26" t="str"/>
      <x:c r="U106" s="26" t="str">
        <x:v>QA</x:v>
      </x:c>
      <x:c r="V106" s="26" t="str"/>
      <x:c r="W106" s="29" t="str"/>
      <x:c r="X106" s="26" t="str"/>
      <x:c r="Y106" s="26" t="str">
        <x:v>Not Required</x:v>
      </x:c>
      <x:c r="Z106" s="26" t="str"/>
      <x:c r="AA106" s="28" t="n">
        <x:f>IF(OR(O106="Passed",O106="Failed",O106="Blocked"),1,0)</x:f>
        <x:v>0</x:v>
      </x:c>
      <x:c r="AB106" s="28" t="n">
        <x:f>IF(O106="Passed",1,0)</x:f>
        <x:v>0</x:v>
      </x:c>
      <x:c r="AC106" s="28" t="n">
        <x:f>IF(AND(OR(R106="Critical",R106="High"),OR(O106="Failed",O106="Blocked"),S106&lt;&gt;"Closed",S106&lt;&gt;"Rejected"),1,0)</x:f>
        <x:v>0</x:v>
      </x:c>
      <x:c r="AD106" s="28" t="n">
        <x:f>IF(X106&lt;&gt;"",1,0)</x:f>
        <x:v>0</x:v>
      </x:c>
      <x:c r="AE106" s="28" t="n">
        <x:f>IF(J106&lt;&gt;"",1,0)</x:f>
        <x:v>0</x:v>
      </x:c>
    </x:row>
    <x:row r="107">
      <x:c r="A107" s="23" t="str">
        <x:v>L2-076</x:v>
      </x:c>
      <x:c r="B107" s="23" t="str">
        <x:v>Level 2</x:v>
      </x:c>
      <x:c r="C107" s="23" t="str">
        <x:v>Billing &amp; Payments</x:v>
      </x:c>
      <x:c r="D107" s="23" t="str"/>
      <x:c r="E107" s="23" t="str">
        <x:v>Settlement audit</x:v>
      </x:c>
      <x:c r="F107" s="23" t="str">
        <x:v>Functional</x:v>
      </x:c>
      <x:c r="G107" s="23" t="str">
        <x:v>Billing Cashier</x:v>
      </x:c>
      <x:c r="H107" s="23" t="str">
        <x:v>Medium</x:v>
      </x:c>
      <x:c r="I107" s="23" t="str">
        <x:v>No</x:v>
      </x:c>
      <x:c r="J107" s="23" t="str">
        <x:v>Complete billing audit</x:v>
      </x:c>
      <x:c r="K107" s="23" t="str">
        <x:v>Required master data and user exist.</x:v>
      </x:c>
      <x:c r="L107" s="23" t="str">
        <x:v>Use dedicated non-production test data.</x:v>
      </x:c>
      <x:c r="M107" s="23" t="str">
        <x:v>1. Sign in as Billing Cashier. 2. Collect, cancel, discount and refund. 3. Save or submit. 4. Refresh or reopen the record. 5. Compare the result with the pass condition.</x:v>
      </x:c>
      <x:c r="N107" s="23" t="str">
        <x:v>Every sensitive action is auditable.</x:v>
      </x:c>
      <x:c r="O107" s="26" t="str">
        <x:v>Not Run</x:v>
      </x:c>
      <x:c r="P107" s="26" t="str"/>
      <x:c r="Q107" s="26" t="str"/>
      <x:c r="R107" s="26" t="str"/>
      <x:c r="S107" s="26" t="str"/>
      <x:c r="T107" s="26" t="str"/>
      <x:c r="U107" s="26" t="str">
        <x:v>QA</x:v>
      </x:c>
      <x:c r="V107" s="26" t="str"/>
      <x:c r="W107" s="29" t="str"/>
      <x:c r="X107" s="26" t="str"/>
      <x:c r="Y107" s="26" t="str">
        <x:v>Not Required</x:v>
      </x:c>
      <x:c r="Z107" s="26" t="str"/>
      <x:c r="AA107" s="28" t="n">
        <x:f>IF(OR(O107="Passed",O107="Failed",O107="Blocked"),1,0)</x:f>
        <x:v>0</x:v>
      </x:c>
      <x:c r="AB107" s="28" t="n">
        <x:f>IF(O107="Passed",1,0)</x:f>
        <x:v>0</x:v>
      </x:c>
      <x:c r="AC107" s="28" t="n">
        <x:f>IF(AND(OR(R107="Critical",R107="High"),OR(O107="Failed",O107="Blocked"),S107&lt;&gt;"Closed",S107&lt;&gt;"Rejected"),1,0)</x:f>
        <x:v>0</x:v>
      </x:c>
      <x:c r="AD107" s="28" t="n">
        <x:f>IF(X107&lt;&gt;"",1,0)</x:f>
        <x:v>0</x:v>
      </x:c>
      <x:c r="AE107" s="28" t="n">
        <x:f>IF(J107&lt;&gt;"",1,0)</x:f>
        <x:v>1</x:v>
      </x:c>
    </x:row>
    <x:row r="108">
      <x:c r="A108" s="23" t="str">
        <x:v>L2-077</x:v>
      </x:c>
      <x:c r="B108" s="23" t="str">
        <x:v>Level 2</x:v>
      </x:c>
      <x:c r="C108" s="23" t="str">
        <x:v>Samples</x:v>
      </x:c>
      <x:c r="D108" s="23" t="str"/>
      <x:c r="E108" s="23" t="str">
        <x:v>Automatic sample creation</x:v>
      </x:c>
      <x:c r="F108" s="23" t="str">
        <x:v>Functional</x:v>
      </x:c>
      <x:c r="G108" s="23" t="str">
        <x:v>Phlebotomist</x:v>
      </x:c>
      <x:c r="H108" s="23" t="str">
        <x:v>Medium</x:v>
      </x:c>
      <x:c r="I108" s="23" t="str">
        <x:v>No</x:v>
      </x:c>
      <x:c r="J108" s="23" t="str"/>
      <x:c r="K108" s="23" t="str">
        <x:v>Required master data and user exist.</x:v>
      </x:c>
      <x:c r="L108" s="23" t="str">
        <x:v>Use dedicated non-production test data.</x:v>
      </x:c>
      <x:c r="M108" s="23" t="str">
        <x:v>1. Sign in as Phlebotomist. 2. Create a multi-test bill. 3. Save or submit. 4. Refresh or reopen the record. 5. Compare the result with the pass condition.</x:v>
      </x:c>
      <x:c r="N108" s="23" t="str">
        <x:v>Correct samples/investigations are linked.</x:v>
      </x:c>
      <x:c r="O108" s="26" t="str">
        <x:v>Not Run</x:v>
      </x:c>
      <x:c r="P108" s="26" t="str"/>
      <x:c r="Q108" s="26" t="str"/>
      <x:c r="R108" s="26" t="str"/>
      <x:c r="S108" s="26" t="str"/>
      <x:c r="T108" s="26" t="str"/>
      <x:c r="U108" s="26" t="str">
        <x:v>QA</x:v>
      </x:c>
      <x:c r="V108" s="26" t="str"/>
      <x:c r="W108" s="29" t="str"/>
      <x:c r="X108" s="26" t="str"/>
      <x:c r="Y108" s="26" t="str">
        <x:v>Not Required</x:v>
      </x:c>
      <x:c r="Z108" s="26" t="str"/>
      <x:c r="AA108" s="28" t="n">
        <x:f>IF(OR(O108="Passed",O108="Failed",O108="Blocked"),1,0)</x:f>
        <x:v>0</x:v>
      </x:c>
      <x:c r="AB108" s="28" t="n">
        <x:f>IF(O108="Passed",1,0)</x:f>
        <x:v>0</x:v>
      </x:c>
      <x:c r="AC108" s="28" t="n">
        <x:f>IF(AND(OR(R108="Critical",R108="High"),OR(O108="Failed",O108="Blocked"),S108&lt;&gt;"Closed",S108&lt;&gt;"Rejected"),1,0)</x:f>
        <x:v>0</x:v>
      </x:c>
      <x:c r="AD108" s="28" t="n">
        <x:f>IF(X108&lt;&gt;"",1,0)</x:f>
        <x:v>0</x:v>
      </x:c>
      <x:c r="AE108" s="28" t="n">
        <x:f>IF(J108&lt;&gt;"",1,0)</x:f>
        <x:v>0</x:v>
      </x:c>
    </x:row>
    <x:row r="109">
      <x:c r="A109" s="23" t="str">
        <x:v>L2-078</x:v>
      </x:c>
      <x:c r="B109" s="23" t="str">
        <x:v>Level 2</x:v>
      </x:c>
      <x:c r="C109" s="23" t="str">
        <x:v>Samples</x:v>
      </x:c>
      <x:c r="D109" s="23" t="str"/>
      <x:c r="E109" s="23" t="str">
        <x:v>Unique sample ID</x:v>
      </x:c>
      <x:c r="F109" s="23" t="str">
        <x:v>Functional</x:v>
      </x:c>
      <x:c r="G109" s="23" t="str">
        <x:v>Phlebotomist</x:v>
      </x:c>
      <x:c r="H109" s="23" t="str">
        <x:v>Medium</x:v>
      </x:c>
      <x:c r="I109" s="23" t="str">
        <x:v>No</x:v>
      </x:c>
      <x:c r="J109" s="23" t="str"/>
      <x:c r="K109" s="23" t="str">
        <x:v>Required master data and user exist.</x:v>
      </x:c>
      <x:c r="L109" s="23" t="str">
        <x:v>Use dedicated non-production test data.</x:v>
      </x:c>
      <x:c r="M109" s="23" t="str">
        <x:v>1. Sign in as Phlebotomist. 2. Create many samples concurrently. 3. Save or submit. 4. Refresh or reopen the record. 5. Compare the result with the pass condition.</x:v>
      </x:c>
      <x:c r="N109" s="23" t="str">
        <x:v>Every sample ID and barcode is unique.</x:v>
      </x:c>
      <x:c r="O109" s="26" t="str">
        <x:v>Not Run</x:v>
      </x:c>
      <x:c r="P109" s="26" t="str"/>
      <x:c r="Q109" s="26" t="str"/>
      <x:c r="R109" s="26" t="str"/>
      <x:c r="S109" s="26" t="str"/>
      <x:c r="T109" s="26" t="str"/>
      <x:c r="U109" s="26" t="str">
        <x:v>QA</x:v>
      </x:c>
      <x:c r="V109" s="26" t="str"/>
      <x:c r="W109" s="29" t="str"/>
      <x:c r="X109" s="26" t="str"/>
      <x:c r="Y109" s="26" t="str">
        <x:v>Not Required</x:v>
      </x:c>
      <x:c r="Z109" s="26" t="str"/>
      <x:c r="AA109" s="28" t="n">
        <x:f>IF(OR(O109="Passed",O109="Failed",O109="Blocked"),1,0)</x:f>
        <x:v>0</x:v>
      </x:c>
      <x:c r="AB109" s="28" t="n">
        <x:f>IF(O109="Passed",1,0)</x:f>
        <x:v>0</x:v>
      </x:c>
      <x:c r="AC109" s="28" t="n">
        <x:f>IF(AND(OR(R109="Critical",R109="High"),OR(O109="Failed",O109="Blocked"),S109&lt;&gt;"Closed",S109&lt;&gt;"Rejected"),1,0)</x:f>
        <x:v>0</x:v>
      </x:c>
      <x:c r="AD109" s="28" t="n">
        <x:f>IF(X109&lt;&gt;"",1,0)</x:f>
        <x:v>0</x:v>
      </x:c>
      <x:c r="AE109" s="28" t="n">
        <x:f>IF(J109&lt;&gt;"",1,0)</x:f>
        <x:v>0</x:v>
      </x:c>
    </x:row>
    <x:row r="110">
      <x:c r="A110" s="23" t="str">
        <x:v>L2-079</x:v>
      </x:c>
      <x:c r="B110" s="23" t="str">
        <x:v>Level 2</x:v>
      </x:c>
      <x:c r="C110" s="23" t="str">
        <x:v>Samples</x:v>
      </x:c>
      <x:c r="D110" s="23" t="str"/>
      <x:c r="E110" s="23" t="str">
        <x:v>Collection time validation</x:v>
      </x:c>
      <x:c r="F110" s="23" t="str">
        <x:v>Functional</x:v>
      </x:c>
      <x:c r="G110" s="23" t="str">
        <x:v>Phlebotomist</x:v>
      </x:c>
      <x:c r="H110" s="23" t="str">
        <x:v>Medium</x:v>
      </x:c>
      <x:c r="I110" s="23" t="str">
        <x:v>No</x:v>
      </x:c>
      <x:c r="J110" s="23" t="str"/>
      <x:c r="K110" s="23" t="str">
        <x:v>Required master data and user exist.</x:v>
      </x:c>
      <x:c r="L110" s="23" t="str">
        <x:v>Use dedicated non-production test data.</x:v>
      </x:c>
      <x:c r="M110" s="23" t="str">
        <x:v>1. Sign in as Phlebotomist. 2. Enter future or pre-DOB collection time. 3. Save or submit. 4. Refresh or reopen the record. 5. Compare the result with the pass condition.</x:v>
      </x:c>
      <x:c r="N110" s="23" t="str">
        <x:v>Invalid time is blocked.</x:v>
      </x:c>
      <x:c r="O110" s="26" t="str">
        <x:v>Not Run</x:v>
      </x:c>
      <x:c r="P110" s="26" t="str"/>
      <x:c r="Q110" s="26" t="str"/>
      <x:c r="R110" s="26" t="str"/>
      <x:c r="S110" s="26" t="str"/>
      <x:c r="T110" s="26" t="str"/>
      <x:c r="U110" s="26" t="str">
        <x:v>QA</x:v>
      </x:c>
      <x:c r="V110" s="26" t="str"/>
      <x:c r="W110" s="29" t="str"/>
      <x:c r="X110" s="26" t="str"/>
      <x:c r="Y110" s="26" t="str">
        <x:v>Not Required</x:v>
      </x:c>
      <x:c r="Z110" s="26" t="str"/>
      <x:c r="AA110" s="28" t="n">
        <x:f>IF(OR(O110="Passed",O110="Failed",O110="Blocked"),1,0)</x:f>
        <x:v>0</x:v>
      </x:c>
      <x:c r="AB110" s="28" t="n">
        <x:f>IF(O110="Passed",1,0)</x:f>
        <x:v>0</x:v>
      </x:c>
      <x:c r="AC110" s="28" t="n">
        <x:f>IF(AND(OR(R110="Critical",R110="High"),OR(O110="Failed",O110="Blocked"),S110&lt;&gt;"Closed",S110&lt;&gt;"Rejected"),1,0)</x:f>
        <x:v>0</x:v>
      </x:c>
      <x:c r="AD110" s="28" t="n">
        <x:f>IF(X110&lt;&gt;"",1,0)</x:f>
        <x:v>0</x:v>
      </x:c>
      <x:c r="AE110" s="28" t="n">
        <x:f>IF(J110&lt;&gt;"",1,0)</x:f>
        <x:v>0</x:v>
      </x:c>
    </x:row>
    <x:row r="111">
      <x:c r="A111" s="23" t="str">
        <x:v>L2-080</x:v>
      </x:c>
      <x:c r="B111" s="23" t="str">
        <x:v>Level 2</x:v>
      </x:c>
      <x:c r="C111" s="23" t="str">
        <x:v>Samples</x:v>
      </x:c>
      <x:c r="D111" s="23" t="str"/>
      <x:c r="E111" s="23" t="str">
        <x:v>Received time order</x:v>
      </x:c>
      <x:c r="F111" s="23" t="str">
        <x:v>Functional</x:v>
      </x:c>
      <x:c r="G111" s="23" t="str">
        <x:v>Phlebotomist</x:v>
      </x:c>
      <x:c r="H111" s="23" t="str">
        <x:v>Medium</x:v>
      </x:c>
      <x:c r="I111" s="23" t="str">
        <x:v>No</x:v>
      </x:c>
      <x:c r="J111" s="23" t="str"/>
      <x:c r="K111" s="23" t="str">
        <x:v>Required master data and user exist.</x:v>
      </x:c>
      <x:c r="L111" s="23" t="str">
        <x:v>Use dedicated non-production test data.</x:v>
      </x:c>
      <x:c r="M111" s="23" t="str">
        <x:v>1. Sign in as Phlebotomist. 2. Enter received time before collection. 3. Save or submit. 4. Refresh or reopen the record. 5. Compare the result with the pass condition.</x:v>
      </x:c>
      <x:c r="N111" s="23" t="str">
        <x:v>Invalid order is blocked.</x:v>
      </x:c>
      <x:c r="O111" s="26" t="str">
        <x:v>Not Run</x:v>
      </x:c>
      <x:c r="P111" s="26" t="str"/>
      <x:c r="Q111" s="26" t="str"/>
      <x:c r="R111" s="26" t="str"/>
      <x:c r="S111" s="26" t="str"/>
      <x:c r="T111" s="26" t="str"/>
      <x:c r="U111" s="26" t="str">
        <x:v>QA</x:v>
      </x:c>
      <x:c r="V111" s="26" t="str"/>
      <x:c r="W111" s="29" t="str"/>
      <x:c r="X111" s="26" t="str"/>
      <x:c r="Y111" s="26" t="str">
        <x:v>Not Required</x:v>
      </x:c>
      <x:c r="Z111" s="26" t="str"/>
      <x:c r="AA111" s="28" t="n">
        <x:f>IF(OR(O111="Passed",O111="Failed",O111="Blocked"),1,0)</x:f>
        <x:v>0</x:v>
      </x:c>
      <x:c r="AB111" s="28" t="n">
        <x:f>IF(O111="Passed",1,0)</x:f>
        <x:v>0</x:v>
      </x:c>
      <x:c r="AC111" s="28" t="n">
        <x:f>IF(AND(OR(R111="Critical",R111="High"),OR(O111="Failed",O111="Blocked"),S111&lt;&gt;"Closed",S111&lt;&gt;"Rejected"),1,0)</x:f>
        <x:v>0</x:v>
      </x:c>
      <x:c r="AD111" s="28" t="n">
        <x:f>IF(X111&lt;&gt;"",1,0)</x:f>
        <x:v>0</x:v>
      </x:c>
      <x:c r="AE111" s="28" t="n">
        <x:f>IF(J111&lt;&gt;"",1,0)</x:f>
        <x:v>0</x:v>
      </x:c>
    </x:row>
    <x:row r="112">
      <x:c r="A112" s="23" t="str">
        <x:v>L2-081</x:v>
      </x:c>
      <x:c r="B112" s="23" t="str">
        <x:v>Level 2</x:v>
      </x:c>
      <x:c r="C112" s="23" t="str">
        <x:v>Samples</x:v>
      </x:c>
      <x:c r="D112" s="23" t="str"/>
      <x:c r="E112" s="23" t="str">
        <x:v>Valid status sequence</x:v>
      </x:c>
      <x:c r="F112" s="23" t="str">
        <x:v>Functional</x:v>
      </x:c>
      <x:c r="G112" s="23" t="str">
        <x:v>Phlebotomist</x:v>
      </x:c>
      <x:c r="H112" s="23" t="str">
        <x:v>Medium</x:v>
      </x:c>
      <x:c r="I112" s="23" t="str">
        <x:v>No</x:v>
      </x:c>
      <x:c r="J112" s="23" t="str"/>
      <x:c r="K112" s="23" t="str">
        <x:v>Required master data and user exist.</x:v>
      </x:c>
      <x:c r="L112" s="23" t="str">
        <x:v>Use dedicated non-production test data.</x:v>
      </x:c>
      <x:c r="M112" s="23" t="str">
        <x:v>1. Sign in as Phlebotomist. 2. Move Registered to Collected to Processing to Completed. 3. Save or submit. 4. Refresh or reopen the record. 5. Compare the result with the pass condition.</x:v>
      </x:c>
      <x:c r="N112" s="23" t="str">
        <x:v>Each transition persists with custody history.</x:v>
      </x:c>
      <x:c r="O112" s="26" t="str">
        <x:v>Not Run</x:v>
      </x:c>
      <x:c r="P112" s="26" t="str"/>
      <x:c r="Q112" s="26" t="str"/>
      <x:c r="R112" s="26" t="str"/>
      <x:c r="S112" s="26" t="str"/>
      <x:c r="T112" s="26" t="str"/>
      <x:c r="U112" s="26" t="str">
        <x:v>QA</x:v>
      </x:c>
      <x:c r="V112" s="26" t="str"/>
      <x:c r="W112" s="29" t="str"/>
      <x:c r="X112" s="26" t="str"/>
      <x:c r="Y112" s="26" t="str">
        <x:v>Not Required</x:v>
      </x:c>
      <x:c r="Z112" s="26" t="str"/>
      <x:c r="AA112" s="28" t="n">
        <x:f>IF(OR(O112="Passed",O112="Failed",O112="Blocked"),1,0)</x:f>
        <x:v>0</x:v>
      </x:c>
      <x:c r="AB112" s="28" t="n">
        <x:f>IF(O112="Passed",1,0)</x:f>
        <x:v>0</x:v>
      </x:c>
      <x:c r="AC112" s="28" t="n">
        <x:f>IF(AND(OR(R112="Critical",R112="High"),OR(O112="Failed",O112="Blocked"),S112&lt;&gt;"Closed",S112&lt;&gt;"Rejected"),1,0)</x:f>
        <x:v>0</x:v>
      </x:c>
      <x:c r="AD112" s="28" t="n">
        <x:f>IF(X112&lt;&gt;"",1,0)</x:f>
        <x:v>0</x:v>
      </x:c>
      <x:c r="AE112" s="28" t="n">
        <x:f>IF(J112&lt;&gt;"",1,0)</x:f>
        <x:v>0</x:v>
      </x:c>
    </x:row>
    <x:row r="113">
      <x:c r="A113" s="23" t="str">
        <x:v>L2-082</x:v>
      </x:c>
      <x:c r="B113" s="23" t="str">
        <x:v>Level 2</x:v>
      </x:c>
      <x:c r="C113" s="23" t="str">
        <x:v>Samples</x:v>
      </x:c>
      <x:c r="D113" s="23" t="str"/>
      <x:c r="E113" s="23" t="str">
        <x:v>Invalid status jump</x:v>
      </x:c>
      <x:c r="F113" s="23" t="str">
        <x:v>Functional</x:v>
      </x:c>
      <x:c r="G113" s="23" t="str">
        <x:v>Phlebotomist</x:v>
      </x:c>
      <x:c r="H113" s="23" t="str">
        <x:v>Medium</x:v>
      </x:c>
      <x:c r="I113" s="23" t="str">
        <x:v>No</x:v>
      </x:c>
      <x:c r="J113" s="23" t="str"/>
      <x:c r="K113" s="23" t="str">
        <x:v>Required master data and user exist.</x:v>
      </x:c>
      <x:c r="L113" s="23" t="str">
        <x:v>Use dedicated non-production test data.</x:v>
      </x:c>
      <x:c r="M113" s="23" t="str">
        <x:v>1. Sign in as Phlebotomist. 2. Jump Registered directly to Completed/Released. 3. Save or submit. 4. Refresh or reopen the record. 5. Compare the result with the pass condition.</x:v>
      </x:c>
      <x:c r="N113" s="23" t="str">
        <x:v>Transition is blocked.</x:v>
      </x:c>
      <x:c r="O113" s="26" t="str">
        <x:v>Not Run</x:v>
      </x:c>
      <x:c r="P113" s="26" t="str"/>
      <x:c r="Q113" s="26" t="str"/>
      <x:c r="R113" s="26" t="str"/>
      <x:c r="S113" s="26" t="str"/>
      <x:c r="T113" s="26" t="str"/>
      <x:c r="U113" s="26" t="str">
        <x:v>QA</x:v>
      </x:c>
      <x:c r="V113" s="26" t="str"/>
      <x:c r="W113" s="29" t="str"/>
      <x:c r="X113" s="26" t="str"/>
      <x:c r="Y113" s="26" t="str">
        <x:v>Not Required</x:v>
      </x:c>
      <x:c r="Z113" s="26" t="str"/>
      <x:c r="AA113" s="28" t="n">
        <x:f>IF(OR(O113="Passed",O113="Failed",O113="Blocked"),1,0)</x:f>
        <x:v>0</x:v>
      </x:c>
      <x:c r="AB113" s="28" t="n">
        <x:f>IF(O113="Passed",1,0)</x:f>
        <x:v>0</x:v>
      </x:c>
      <x:c r="AC113" s="28" t="n">
        <x:f>IF(AND(OR(R113="Critical",R113="High"),OR(O113="Failed",O113="Blocked"),S113&lt;&gt;"Closed",S113&lt;&gt;"Rejected"),1,0)</x:f>
        <x:v>0</x:v>
      </x:c>
      <x:c r="AD113" s="28" t="n">
        <x:f>IF(X113&lt;&gt;"",1,0)</x:f>
        <x:v>0</x:v>
      </x:c>
      <x:c r="AE113" s="28" t="n">
        <x:f>IF(J113&lt;&gt;"",1,0)</x:f>
        <x:v>0</x:v>
      </x:c>
    </x:row>
    <x:row r="114">
      <x:c r="A114" s="23" t="str">
        <x:v>L2-083</x:v>
      </x:c>
      <x:c r="B114" s="23" t="str">
        <x:v>Level 2</x:v>
      </x:c>
      <x:c r="C114" s="23" t="str">
        <x:v>Samples</x:v>
      </x:c>
      <x:c r="D114" s="23" t="str"/>
      <x:c r="E114" s="23" t="str">
        <x:v>Reject without reason</x:v>
      </x:c>
      <x:c r="F114" s="23" t="str">
        <x:v>Functional</x:v>
      </x:c>
      <x:c r="G114" s="23" t="str">
        <x:v>Phlebotomist</x:v>
      </x:c>
      <x:c r="H114" s="23" t="str">
        <x:v>Medium</x:v>
      </x:c>
      <x:c r="I114" s="23" t="str">
        <x:v>No</x:v>
      </x:c>
      <x:c r="J114" s="23" t="str"/>
      <x:c r="K114" s="23" t="str">
        <x:v>Required master data and user exist.</x:v>
      </x:c>
      <x:c r="L114" s="23" t="str">
        <x:v>Use dedicated non-production test data.</x:v>
      </x:c>
      <x:c r="M114" s="23" t="str">
        <x:v>1. Sign in as Phlebotomist. 2. Reject an active sample without a reason. 3. Save or submit. 4. Refresh or reopen the record. 5. Compare the result with the pass condition.</x:v>
      </x:c>
      <x:c r="N114" s="23" t="str">
        <x:v>Save is blocked.</x:v>
      </x:c>
      <x:c r="O114" s="26" t="str">
        <x:v>Not Run</x:v>
      </x:c>
      <x:c r="P114" s="26" t="str"/>
      <x:c r="Q114" s="26" t="str"/>
      <x:c r="R114" s="26" t="str"/>
      <x:c r="S114" s="26" t="str"/>
      <x:c r="T114" s="26" t="str"/>
      <x:c r="U114" s="26" t="str">
        <x:v>QA</x:v>
      </x:c>
      <x:c r="V114" s="26" t="str"/>
      <x:c r="W114" s="29" t="str"/>
      <x:c r="X114" s="26" t="str"/>
      <x:c r="Y114" s="26" t="str">
        <x:v>Not Required</x:v>
      </x:c>
      <x:c r="Z114" s="26" t="str"/>
      <x:c r="AA114" s="28" t="n">
        <x:f>IF(OR(O114="Passed",O114="Failed",O114="Blocked"),1,0)</x:f>
        <x:v>0</x:v>
      </x:c>
      <x:c r="AB114" s="28" t="n">
        <x:f>IF(O114="Passed",1,0)</x:f>
        <x:v>0</x:v>
      </x:c>
      <x:c r="AC114" s="28" t="n">
        <x:f>IF(AND(OR(R114="Critical",R114="High"),OR(O114="Failed",O114="Blocked"),S114&lt;&gt;"Closed",S114&lt;&gt;"Rejected"),1,0)</x:f>
        <x:v>0</x:v>
      </x:c>
      <x:c r="AD114" s="28" t="n">
        <x:f>IF(X114&lt;&gt;"",1,0)</x:f>
        <x:v>0</x:v>
      </x:c>
      <x:c r="AE114" s="28" t="n">
        <x:f>IF(J114&lt;&gt;"",1,0)</x:f>
        <x:v>0</x:v>
      </x:c>
    </x:row>
    <x:row r="115">
      <x:c r="A115" s="23" t="str">
        <x:v>L2-084</x:v>
      </x:c>
      <x:c r="B115" s="23" t="str">
        <x:v>Level 2</x:v>
      </x:c>
      <x:c r="C115" s="23" t="str">
        <x:v>Samples</x:v>
      </x:c>
      <x:c r="D115" s="23" t="str"/>
      <x:c r="E115" s="23" t="str">
        <x:v>Reject with reason</x:v>
      </x:c>
      <x:c r="F115" s="23" t="str">
        <x:v>Functional</x:v>
      </x:c>
      <x:c r="G115" s="23" t="str">
        <x:v>Phlebotomist</x:v>
      </x:c>
      <x:c r="H115" s="23" t="str">
        <x:v>Medium</x:v>
      </x:c>
      <x:c r="I115" s="23" t="str">
        <x:v>No</x:v>
      </x:c>
      <x:c r="J115" s="23" t="str"/>
      <x:c r="K115" s="23" t="str">
        <x:v>Required master data and user exist.</x:v>
      </x:c>
      <x:c r="L115" s="23" t="str">
        <x:v>Use dedicated non-production test data.</x:v>
      </x:c>
      <x:c r="M115" s="23" t="str">
        <x:v>1. Sign in as Phlebotomist. 2. Reject from each allowed active state. 3. Save or submit. 4. Refresh or reopen the record. 5. Compare the result with the pass condition.</x:v>
      </x:c>
      <x:c r="N115" s="23" t="str">
        <x:v>Reason and custody event are retained.</x:v>
      </x:c>
      <x:c r="O115" s="26" t="str">
        <x:v>Not Run</x:v>
      </x:c>
      <x:c r="P115" s="26" t="str"/>
      <x:c r="Q115" s="26" t="str"/>
      <x:c r="R115" s="26" t="str"/>
      <x:c r="S115" s="26" t="str"/>
      <x:c r="T115" s="26" t="str"/>
      <x:c r="U115" s="26" t="str">
        <x:v>QA</x:v>
      </x:c>
      <x:c r="V115" s="26" t="str"/>
      <x:c r="W115" s="29" t="str"/>
      <x:c r="X115" s="26" t="str"/>
      <x:c r="Y115" s="26" t="str">
        <x:v>Not Required</x:v>
      </x:c>
      <x:c r="Z115" s="26" t="str"/>
      <x:c r="AA115" s="28" t="n">
        <x:f>IF(OR(O115="Passed",O115="Failed",O115="Blocked"),1,0)</x:f>
        <x:v>0</x:v>
      </x:c>
      <x:c r="AB115" s="28" t="n">
        <x:f>IF(O115="Passed",1,0)</x:f>
        <x:v>0</x:v>
      </x:c>
      <x:c r="AC115" s="28" t="n">
        <x:f>IF(AND(OR(R115="Critical",R115="High"),OR(O115="Failed",O115="Blocked"),S115&lt;&gt;"Closed",S115&lt;&gt;"Rejected"),1,0)</x:f>
        <x:v>0</x:v>
      </x:c>
      <x:c r="AD115" s="28" t="n">
        <x:f>IF(X115&lt;&gt;"",1,0)</x:f>
        <x:v>0</x:v>
      </x:c>
      <x:c r="AE115" s="28" t="n">
        <x:f>IF(J115&lt;&gt;"",1,0)</x:f>
        <x:v>0</x:v>
      </x:c>
    </x:row>
    <x:row r="116">
      <x:c r="A116" s="23" t="str">
        <x:v>L2-085</x:v>
      </x:c>
      <x:c r="B116" s="23" t="str">
        <x:v>Level 2</x:v>
      </x:c>
      <x:c r="C116" s="23" t="str">
        <x:v>Samples</x:v>
      </x:c>
      <x:c r="D116" s="23" t="str"/>
      <x:c r="E116" s="23" t="str">
        <x:v>Recollection</x:v>
      </x:c>
      <x:c r="F116" s="23" t="str">
        <x:v>Functional</x:v>
      </x:c>
      <x:c r="G116" s="23" t="str">
        <x:v>Phlebotomist</x:v>
      </x:c>
      <x:c r="H116" s="23" t="str">
        <x:v>Critical</x:v>
      </x:c>
      <x:c r="I116" s="23" t="str">
        <x:v>Yes</x:v>
      </x:c>
      <x:c r="J116" s="23" t="str">
        <x:v>Controlled recollection workflow</x:v>
      </x:c>
      <x:c r="K116" s="23" t="str">
        <x:v>Required master data and user exist.</x:v>
      </x:c>
      <x:c r="L116" s="23" t="str">
        <x:v>Use dedicated non-production test data.</x:v>
      </x:c>
      <x:c r="M116" s="23" t="str">
        <x:v>1. Sign in as Phlebotomist. 2. Create a replacement after rejection. 3. Save or submit. 4. Refresh or reopen the record. 5. Compare the result with the pass condition.</x:v>
      </x:c>
      <x:c r="N116" s="23" t="str">
        <x:v>Old rejected sample remains traceable and the new sample links correctly.</x:v>
      </x:c>
      <x:c r="O116" s="26" t="str">
        <x:v>Not Run</x:v>
      </x:c>
      <x:c r="P116" s="26" t="str"/>
      <x:c r="Q116" s="26" t="str"/>
      <x:c r="R116" s="26" t="str"/>
      <x:c r="S116" s="26" t="str"/>
      <x:c r="T116" s="26" t="str"/>
      <x:c r="U116" s="26" t="str">
        <x:v>QA</x:v>
      </x:c>
      <x:c r="V116" s="26" t="str"/>
      <x:c r="W116" s="29" t="str"/>
      <x:c r="X116" s="26" t="str"/>
      <x:c r="Y116" s="26" t="str">
        <x:v>Not Required</x:v>
      </x:c>
      <x:c r="Z116" s="26" t="str"/>
      <x:c r="AA116" s="28" t="n">
        <x:f>IF(OR(O116="Passed",O116="Failed",O116="Blocked"),1,0)</x:f>
        <x:v>0</x:v>
      </x:c>
      <x:c r="AB116" s="28" t="n">
        <x:f>IF(O116="Passed",1,0)</x:f>
        <x:v>0</x:v>
      </x:c>
      <x:c r="AC116" s="28" t="n">
        <x:f>IF(AND(OR(R116="Critical",R116="High"),OR(O116="Failed",O116="Blocked"),S116&lt;&gt;"Closed",S116&lt;&gt;"Rejected"),1,0)</x:f>
        <x:v>0</x:v>
      </x:c>
      <x:c r="AD116" s="28" t="n">
        <x:f>IF(X116&lt;&gt;"",1,0)</x:f>
        <x:v>0</x:v>
      </x:c>
      <x:c r="AE116" s="28" t="n">
        <x:f>IF(J116&lt;&gt;"",1,0)</x:f>
        <x:v>1</x:v>
      </x:c>
    </x:row>
    <x:row r="117">
      <x:c r="A117" s="23" t="str">
        <x:v>L2-086</x:v>
      </x:c>
      <x:c r="B117" s="23" t="str">
        <x:v>Level 2</x:v>
      </x:c>
      <x:c r="C117" s="23" t="str">
        <x:v>Samples</x:v>
      </x:c>
      <x:c r="D117" s="23" t="str"/>
      <x:c r="E117" s="23" t="str">
        <x:v>Barcode print and scan</x:v>
      </x:c>
      <x:c r="F117" s="23" t="str">
        <x:v>Functional</x:v>
      </x:c>
      <x:c r="G117" s="23" t="str">
        <x:v>Phlebotomist</x:v>
      </x:c>
      <x:c r="H117" s="23" t="str">
        <x:v>High</x:v>
      </x:c>
      <x:c r="I117" s="23" t="str">
        <x:v>No</x:v>
      </x:c>
      <x:c r="J117" s="23" t="str">
        <x:v>Barcode printing/scanning polish</x:v>
      </x:c>
      <x:c r="K117" s="23" t="str">
        <x:v>Required master data and user exist.</x:v>
      </x:c>
      <x:c r="L117" s="23" t="str">
        <x:v>Use dedicated non-production test data.</x:v>
      </x:c>
      <x:c r="M117" s="23" t="str">
        <x:v>1. Sign in as Phlebotomist. 2. Print and scan the label in collection and processing. 3. Save or submit. 4. Refresh or reopen the record. 5. Compare the result with the pass condition.</x:v>
      </x:c>
      <x:c r="N117" s="23" t="str">
        <x:v>Scan resolves the correct sample with readable label.</x:v>
      </x:c>
      <x:c r="O117" s="26" t="str">
        <x:v>Not Run</x:v>
      </x:c>
      <x:c r="P117" s="26" t="str"/>
      <x:c r="Q117" s="26" t="str"/>
      <x:c r="R117" s="26" t="str"/>
      <x:c r="S117" s="26" t="str"/>
      <x:c r="T117" s="26" t="str"/>
      <x:c r="U117" s="26" t="str">
        <x:v>QA</x:v>
      </x:c>
      <x:c r="V117" s="26" t="str"/>
      <x:c r="W117" s="29" t="str"/>
      <x:c r="X117" s="26" t="str"/>
      <x:c r="Y117" s="26" t="str">
        <x:v>Not Required</x:v>
      </x:c>
      <x:c r="Z117" s="26" t="str"/>
      <x:c r="AA117" s="28" t="n">
        <x:f>IF(OR(O117="Passed",O117="Failed",O117="Blocked"),1,0)</x:f>
        <x:v>0</x:v>
      </x:c>
      <x:c r="AB117" s="28" t="n">
        <x:f>IF(O117="Passed",1,0)</x:f>
        <x:v>0</x:v>
      </x:c>
      <x:c r="AC117" s="28" t="n">
        <x:f>IF(AND(OR(R117="Critical",R117="High"),OR(O117="Failed",O117="Blocked"),S117&lt;&gt;"Closed",S117&lt;&gt;"Rejected"),1,0)</x:f>
        <x:v>0</x:v>
      </x:c>
      <x:c r="AD117" s="28" t="n">
        <x:f>IF(X117&lt;&gt;"",1,0)</x:f>
        <x:v>0</x:v>
      </x:c>
      <x:c r="AE117" s="28" t="n">
        <x:f>IF(J117&lt;&gt;"",1,0)</x:f>
        <x:v>1</x:v>
      </x:c>
    </x:row>
    <x:row r="118">
      <x:c r="A118" s="23" t="str">
        <x:v>L2-087</x:v>
      </x:c>
      <x:c r="B118" s="23" t="str">
        <x:v>Level 2</x:v>
      </x:c>
      <x:c r="C118" s="23" t="str">
        <x:v>Samples</x:v>
      </x:c>
      <x:c r="D118" s="23" t="str"/>
      <x:c r="E118" s="23" t="str">
        <x:v>Patient/sample mismatch</x:v>
      </x:c>
      <x:c r="F118" s="23" t="str">
        <x:v>Functional</x:v>
      </x:c>
      <x:c r="G118" s="23" t="str">
        <x:v>Phlebotomist</x:v>
      </x:c>
      <x:c r="H118" s="23" t="str">
        <x:v>Critical</x:v>
      </x:c>
      <x:c r="I118" s="23" t="str">
        <x:v>Yes</x:v>
      </x:c>
      <x:c r="J118" s="23" t="str"/>
      <x:c r="K118" s="23" t="str">
        <x:v>Required master data and user exist.</x:v>
      </x:c>
      <x:c r="L118" s="23" t="str">
        <x:v>Use dedicated non-production test data.</x:v>
      </x:c>
      <x:c r="M118" s="23" t="str">
        <x:v>1. Sign in as Phlebotomist. 2. Use another patient's barcode. 3. Save or submit. 4. Refresh or reopen the record. 5. Compare the result with the pass condition.</x:v>
      </x:c>
      <x:c r="N118" s="23" t="str">
        <x:v>Processing is blocked.</x:v>
      </x:c>
      <x:c r="O118" s="26" t="str">
        <x:v>Not Run</x:v>
      </x:c>
      <x:c r="P118" s="26" t="str"/>
      <x:c r="Q118" s="26" t="str"/>
      <x:c r="R118" s="26" t="str"/>
      <x:c r="S118" s="26" t="str"/>
      <x:c r="T118" s="26" t="str"/>
      <x:c r="U118" s="26" t="str">
        <x:v>QA</x:v>
      </x:c>
      <x:c r="V118" s="26" t="str"/>
      <x:c r="W118" s="29" t="str"/>
      <x:c r="X118" s="26" t="str"/>
      <x:c r="Y118" s="26" t="str">
        <x:v>Not Required</x:v>
      </x:c>
      <x:c r="Z118" s="26" t="str"/>
      <x:c r="AA118" s="28" t="n">
        <x:f>IF(OR(O118="Passed",O118="Failed",O118="Blocked"),1,0)</x:f>
        <x:v>0</x:v>
      </x:c>
      <x:c r="AB118" s="28" t="n">
        <x:f>IF(O118="Passed",1,0)</x:f>
        <x:v>0</x:v>
      </x:c>
      <x:c r="AC118" s="28" t="n">
        <x:f>IF(AND(OR(R118="Critical",R118="High"),OR(O118="Failed",O118="Blocked"),S118&lt;&gt;"Closed",S118&lt;&gt;"Rejected"),1,0)</x:f>
        <x:v>0</x:v>
      </x:c>
      <x:c r="AD118" s="28" t="n">
        <x:f>IF(X118&lt;&gt;"",1,0)</x:f>
        <x:v>0</x:v>
      </x:c>
      <x:c r="AE118" s="28" t="n">
        <x:f>IF(J118&lt;&gt;"",1,0)</x:f>
        <x:v>0</x:v>
      </x:c>
    </x:row>
    <x:row r="119">
      <x:c r="A119" s="23" t="str">
        <x:v>L2-088</x:v>
      </x:c>
      <x:c r="B119" s="23" t="str">
        <x:v>Level 2</x:v>
      </x:c>
      <x:c r="C119" s="23" t="str">
        <x:v>Samples</x:v>
      </x:c>
      <x:c r="D119" s="23" t="str"/>
      <x:c r="E119" s="23" t="str">
        <x:v>Batch/custody</x:v>
      </x:c>
      <x:c r="F119" s="23" t="str">
        <x:v>Functional</x:v>
      </x:c>
      <x:c r="G119" s="23" t="str">
        <x:v>Phlebotomist</x:v>
      </x:c>
      <x:c r="H119" s="23" t="str">
        <x:v>Medium</x:v>
      </x:c>
      <x:c r="I119" s="23" t="str">
        <x:v>No</x:v>
      </x:c>
      <x:c r="J119" s="23" t="str"/>
      <x:c r="K119" s="23" t="str">
        <x:v>Required master data and user exist.</x:v>
      </x:c>
      <x:c r="L119" s="23" t="str">
        <x:v>Use dedicated non-production test data.</x:v>
      </x:c>
      <x:c r="M119" s="23" t="str">
        <x:v>1. Sign in as Phlebotomist. 2. Transfer a sample between users/locations. 3. Save or submit. 4. Refresh or reopen the record. 5. Compare the result with the pass condition.</x:v>
      </x:c>
      <x:c r="N119" s="23" t="str">
        <x:v>Complete chain of custody is visible.</x:v>
      </x:c>
      <x:c r="O119" s="26" t="str">
        <x:v>Not Run</x:v>
      </x:c>
      <x:c r="P119" s="26" t="str"/>
      <x:c r="Q119" s="26" t="str"/>
      <x:c r="R119" s="26" t="str"/>
      <x:c r="S119" s="26" t="str"/>
      <x:c r="T119" s="26" t="str"/>
      <x:c r="U119" s="26" t="str">
        <x:v>QA</x:v>
      </x:c>
      <x:c r="V119" s="26" t="str"/>
      <x:c r="W119" s="29" t="str"/>
      <x:c r="X119" s="26" t="str"/>
      <x:c r="Y119" s="26" t="str">
        <x:v>Not Required</x:v>
      </x:c>
      <x:c r="Z119" s="26" t="str"/>
      <x:c r="AA119" s="28" t="n">
        <x:f>IF(OR(O119="Passed",O119="Failed",O119="Blocked"),1,0)</x:f>
        <x:v>0</x:v>
      </x:c>
      <x:c r="AB119" s="28" t="n">
        <x:f>IF(O119="Passed",1,0)</x:f>
        <x:v>0</x:v>
      </x:c>
      <x:c r="AC119" s="28" t="n">
        <x:f>IF(AND(OR(R119="Critical",R119="High"),OR(O119="Failed",O119="Blocked"),S119&lt;&gt;"Closed",S119&lt;&gt;"Rejected"),1,0)</x:f>
        <x:v>0</x:v>
      </x:c>
      <x:c r="AD119" s="28" t="n">
        <x:f>IF(X119&lt;&gt;"",1,0)</x:f>
        <x:v>0</x:v>
      </x:c>
      <x:c r="AE119" s="28" t="n">
        <x:f>IF(J119&lt;&gt;"",1,0)</x:f>
        <x:v>0</x:v>
      </x:c>
    </x:row>
    <x:row r="120">
      <x:c r="A120" s="23" t="str">
        <x:v>L2-089</x:v>
      </x:c>
      <x:c r="B120" s="23" t="str">
        <x:v>Level 2</x:v>
      </x:c>
      <x:c r="C120" s="23" t="str">
        <x:v>Samples</x:v>
      </x:c>
      <x:c r="D120" s="23" t="str"/>
      <x:c r="E120" s="23" t="str">
        <x:v>Archive and restore</x:v>
      </x:c>
      <x:c r="F120" s="23" t="str">
        <x:v>Functional</x:v>
      </x:c>
      <x:c r="G120" s="23" t="str">
        <x:v>Phlebotomist</x:v>
      </x:c>
      <x:c r="H120" s="23" t="str">
        <x:v>Medium</x:v>
      </x:c>
      <x:c r="I120" s="23" t="str">
        <x:v>No</x:v>
      </x:c>
      <x:c r="J120" s="23" t="str">
        <x:v>Sample archive/restore controls</x:v>
      </x:c>
      <x:c r="K120" s="23" t="str">
        <x:v>Required master data and user exist.</x:v>
      </x:c>
      <x:c r="L120" s="23" t="str">
        <x:v>Use dedicated non-production test data.</x:v>
      </x:c>
      <x:c r="M120" s="23" t="str">
        <x:v>1. Sign in as Phlebotomist. 2. Archive and restore a completed sample. 3. Save or submit. 4. Refresh or reopen the record. 5. Compare the result with the pass condition.</x:v>
      </x:c>
      <x:c r="N120" s="23" t="str">
        <x:v>Policy is enforced without losing history.</x:v>
      </x:c>
      <x:c r="O120" s="26" t="str">
        <x:v>Not Run</x:v>
      </x:c>
      <x:c r="P120" s="26" t="str"/>
      <x:c r="Q120" s="26" t="str"/>
      <x:c r="R120" s="26" t="str"/>
      <x:c r="S120" s="26" t="str"/>
      <x:c r="T120" s="26" t="str"/>
      <x:c r="U120" s="26" t="str">
        <x:v>QA</x:v>
      </x:c>
      <x:c r="V120" s="26" t="str"/>
      <x:c r="W120" s="29" t="str"/>
      <x:c r="X120" s="26" t="str"/>
      <x:c r="Y120" s="26" t="str">
        <x:v>Not Required</x:v>
      </x:c>
      <x:c r="Z120" s="26" t="str"/>
      <x:c r="AA120" s="28" t="n">
        <x:f>IF(OR(O120="Passed",O120="Failed",O120="Blocked"),1,0)</x:f>
        <x:v>0</x:v>
      </x:c>
      <x:c r="AB120" s="28" t="n">
        <x:f>IF(O120="Passed",1,0)</x:f>
        <x:v>0</x:v>
      </x:c>
      <x:c r="AC120" s="28" t="n">
        <x:f>IF(AND(OR(R120="Critical",R120="High"),OR(O120="Failed",O120="Blocked"),S120&lt;&gt;"Closed",S120&lt;&gt;"Rejected"),1,0)</x:f>
        <x:v>0</x:v>
      </x:c>
      <x:c r="AD120" s="28" t="n">
        <x:f>IF(X120&lt;&gt;"",1,0)</x:f>
        <x:v>0</x:v>
      </x:c>
      <x:c r="AE120" s="28" t="n">
        <x:f>IF(J120&lt;&gt;"",1,0)</x:f>
        <x:v>1</x:v>
      </x:c>
    </x:row>
    <x:row r="121">
      <x:c r="A121" s="23" t="str">
        <x:v>L2-090</x:v>
      </x:c>
      <x:c r="B121" s="23" t="str">
        <x:v>Level 2</x:v>
      </x:c>
      <x:c r="C121" s="23" t="str">
        <x:v>Samples</x:v>
      </x:c>
      <x:c r="D121" s="23" t="str"/>
      <x:c r="E121" s="23" t="str">
        <x:v>Rejection approval</x:v>
      </x:c>
      <x:c r="F121" s="23" t="str">
        <x:v>Functional</x:v>
      </x:c>
      <x:c r="G121" s="23" t="str">
        <x:v>Phlebotomist</x:v>
      </x:c>
      <x:c r="H121" s="23" t="str">
        <x:v>Medium</x:v>
      </x:c>
      <x:c r="I121" s="23" t="str">
        <x:v>No</x:v>
      </x:c>
      <x:c r="J121" s="23" t="str">
        <x:v>Stronger rejection approval</x:v>
      </x:c>
      <x:c r="K121" s="23" t="str">
        <x:v>Required master data and user exist.</x:v>
      </x:c>
      <x:c r="L121" s="23" t="str">
        <x:v>Use dedicated non-production test data.</x:v>
      </x:c>
      <x:c r="M121" s="23" t="str">
        <x:v>1. Sign in as Phlebotomist. 2. Reject a high-impact sample and request approval. 3. Save or submit. 4. Refresh or reopen the record. 5. Compare the result with the pass condition.</x:v>
      </x:c>
      <x:c r="N121" s="23" t="str">
        <x:v>Approval follows policy or is recorded as a gap.</x:v>
      </x:c>
      <x:c r="O121" s="26" t="str">
        <x:v>Not Run</x:v>
      </x:c>
      <x:c r="P121" s="26" t="str"/>
      <x:c r="Q121" s="26" t="str"/>
      <x:c r="R121" s="26" t="str"/>
      <x:c r="S121" s="26" t="str"/>
      <x:c r="T121" s="26" t="str"/>
      <x:c r="U121" s="26" t="str">
        <x:v>QA</x:v>
      </x:c>
      <x:c r="V121" s="26" t="str"/>
      <x:c r="W121" s="29" t="str"/>
      <x:c r="X121" s="26" t="str"/>
      <x:c r="Y121" s="26" t="str">
        <x:v>Not Required</x:v>
      </x:c>
      <x:c r="Z121" s="26" t="str"/>
      <x:c r="AA121" s="28" t="n">
        <x:f>IF(OR(O121="Passed",O121="Failed",O121="Blocked"),1,0)</x:f>
        <x:v>0</x:v>
      </x:c>
      <x:c r="AB121" s="28" t="n">
        <x:f>IF(O121="Passed",1,0)</x:f>
        <x:v>0</x:v>
      </x:c>
      <x:c r="AC121" s="28" t="n">
        <x:f>IF(AND(OR(R121="Critical",R121="High"),OR(O121="Failed",O121="Blocked"),S121&lt;&gt;"Closed",S121&lt;&gt;"Rejected"),1,0)</x:f>
        <x:v>0</x:v>
      </x:c>
      <x:c r="AD121" s="28" t="n">
        <x:f>IF(X121&lt;&gt;"",1,0)</x:f>
        <x:v>0</x:v>
      </x:c>
      <x:c r="AE121" s="28" t="n">
        <x:f>IF(J121&lt;&gt;"",1,0)</x:f>
        <x:v>1</x:v>
      </x:c>
    </x:row>
    <x:row r="122">
      <x:c r="A122" s="23" t="str">
        <x:v>L2-091</x:v>
      </x:c>
      <x:c r="B122" s="23" t="str">
        <x:v>Level 2</x:v>
      </x:c>
      <x:c r="C122" s="23" t="str">
        <x:v>Samples</x:v>
      </x:c>
      <x:c r="D122" s="23" t="str"/>
      <x:c r="E122" s="23" t="str">
        <x:v>Status vocabulary integration</x:v>
      </x:c>
      <x:c r="F122" s="23" t="str">
        <x:v>Functional</x:v>
      </x:c>
      <x:c r="G122" s="23" t="str">
        <x:v>Phlebotomist</x:v>
      </x:c>
      <x:c r="H122" s="23" t="str">
        <x:v>Critical</x:v>
      </x:c>
      <x:c r="I122" s="23" t="str">
        <x:v>Yes</x:v>
      </x:c>
      <x:c r="J122" s="23" t="str">
        <x:v>API/model sample-status mismatch</x:v>
      </x:c>
      <x:c r="K122" s="23" t="str">
        <x:v>Required master data and user exist.</x:v>
      </x:c>
      <x:c r="L122" s="23" t="str">
        <x:v>Use dedicated non-production test data.</x:v>
      </x:c>
      <x:c r="M122" s="23" t="str">
        <x:v>1. Sign in as Phlebotomist. 2. Create a report from Processing and Completed samples. 3. Save or submit. 4. Refresh or reopen the record. 5. Compare the result with the pass condition.</x:v>
      </x:c>
      <x:c r="N122" s="23" t="str">
        <x:v>Report creation accepts the model's real statuses.</x:v>
      </x:c>
      <x:c r="O122" s="26" t="str">
        <x:v>Not Run</x:v>
      </x:c>
      <x:c r="P122" s="26" t="str"/>
      <x:c r="Q122" s="26" t="str"/>
      <x:c r="R122" s="26" t="str"/>
      <x:c r="S122" s="26" t="str"/>
      <x:c r="T122" s="26" t="str"/>
      <x:c r="U122" s="26" t="str">
        <x:v>QA</x:v>
      </x:c>
      <x:c r="V122" s="26" t="str"/>
      <x:c r="W122" s="29" t="str"/>
      <x:c r="X122" s="26" t="str"/>
      <x:c r="Y122" s="26" t="str">
        <x:v>Not Required</x:v>
      </x:c>
      <x:c r="Z122" s="26" t="str"/>
      <x:c r="AA122" s="28" t="n">
        <x:f>IF(OR(O122="Passed",O122="Failed",O122="Blocked"),1,0)</x:f>
        <x:v>0</x:v>
      </x:c>
      <x:c r="AB122" s="28" t="n">
        <x:f>IF(O122="Passed",1,0)</x:f>
        <x:v>0</x:v>
      </x:c>
      <x:c r="AC122" s="28" t="n">
        <x:f>IF(AND(OR(R122="Critical",R122="High"),OR(O122="Failed",O122="Blocked"),S122&lt;&gt;"Closed",S122&lt;&gt;"Rejected"),1,0)</x:f>
        <x:v>0</x:v>
      </x:c>
      <x:c r="AD122" s="28" t="n">
        <x:f>IF(X122&lt;&gt;"",1,0)</x:f>
        <x:v>0</x:v>
      </x:c>
      <x:c r="AE122" s="28" t="n">
        <x:f>IF(J122&lt;&gt;"",1,0)</x:f>
        <x:v>1</x:v>
      </x:c>
    </x:row>
    <x:row r="123">
      <x:c r="A123" s="23" t="str">
        <x:v>L2-092</x:v>
      </x:c>
      <x:c r="B123" s="23" t="str">
        <x:v>Level 2</x:v>
      </x:c>
      <x:c r="C123" s="23" t="str">
        <x:v>Samples</x:v>
      </x:c>
      <x:c r="D123" s="23" t="str"/>
      <x:c r="E123" s="23" t="str">
        <x:v>Sample audit</x:v>
      </x:c>
      <x:c r="F123" s="23" t="str">
        <x:v>Functional</x:v>
      </x:c>
      <x:c r="G123" s="23" t="str">
        <x:v>Phlebotomist</x:v>
      </x:c>
      <x:c r="H123" s="23" t="str">
        <x:v>Medium</x:v>
      </x:c>
      <x:c r="I123" s="23" t="str">
        <x:v>No</x:v>
      </x:c>
      <x:c r="J123" s="23" t="str">
        <x:v>Sample audit coverage</x:v>
      </x:c>
      <x:c r="K123" s="23" t="str">
        <x:v>Required master data and user exist.</x:v>
      </x:c>
      <x:c r="L123" s="23" t="str">
        <x:v>Use dedicated non-production test data.</x:v>
      </x:c>
      <x:c r="M123" s="23" t="str">
        <x:v>1. Sign in as Phlebotomist. 2. Collect, reject and complete samples. 3. Save or submit. 4. Refresh or reopen the record. 5. Compare the result with the pass condition.</x:v>
      </x:c>
      <x:c r="N123" s="23" t="str">
        <x:v>All sensitive sample changes are auditable.</x:v>
      </x:c>
      <x:c r="O123" s="26" t="str">
        <x:v>Not Run</x:v>
      </x:c>
      <x:c r="P123" s="26" t="str"/>
      <x:c r="Q123" s="26" t="str"/>
      <x:c r="R123" s="26" t="str"/>
      <x:c r="S123" s="26" t="str"/>
      <x:c r="T123" s="26" t="str"/>
      <x:c r="U123" s="26" t="str">
        <x:v>QA</x:v>
      </x:c>
      <x:c r="V123" s="26" t="str"/>
      <x:c r="W123" s="29" t="str"/>
      <x:c r="X123" s="26" t="str"/>
      <x:c r="Y123" s="26" t="str">
        <x:v>Not Required</x:v>
      </x:c>
      <x:c r="Z123" s="26" t="str"/>
      <x:c r="AA123" s="28" t="n">
        <x:f>IF(OR(O123="Passed",O123="Failed",O123="Blocked"),1,0)</x:f>
        <x:v>0</x:v>
      </x:c>
      <x:c r="AB123" s="28" t="n">
        <x:f>IF(O123="Passed",1,0)</x:f>
        <x:v>0</x:v>
      </x:c>
      <x:c r="AC123" s="28" t="n">
        <x:f>IF(AND(OR(R123="Critical",R123="High"),OR(O123="Failed",O123="Blocked"),S123&lt;&gt;"Closed",S123&lt;&gt;"Rejected"),1,0)</x:f>
        <x:v>0</x:v>
      </x:c>
      <x:c r="AD123" s="28" t="n">
        <x:f>IF(X123&lt;&gt;"",1,0)</x:f>
        <x:v>0</x:v>
      </x:c>
      <x:c r="AE123" s="28" t="n">
        <x:f>IF(J123&lt;&gt;"",1,0)</x:f>
        <x:v>1</x:v>
      </x:c>
    </x:row>
    <x:row r="124">
      <x:c r="A124" s="23" t="str">
        <x:v>L2-093</x:v>
      </x:c>
      <x:c r="B124" s="23" t="str">
        <x:v>Level 2</x:v>
      </x:c>
      <x:c r="C124" s="23" t="str">
        <x:v>Reports</x:v>
      </x:c>
      <x:c r="D124" s="23" t="str"/>
      <x:c r="E124" s="23" t="str">
        <x:v>Required result</x:v>
      </x:c>
      <x:c r="F124" s="23" t="str">
        <x:v>Functional</x:v>
      </x:c>
      <x:c r="G124" s="23" t="str">
        <x:v>Pathologist</x:v>
      </x:c>
      <x:c r="H124" s="23" t="str">
        <x:v>Medium</x:v>
      </x:c>
      <x:c r="I124" s="23" t="str">
        <x:v>No</x:v>
      </x:c>
      <x:c r="J124" s="23" t="str"/>
      <x:c r="K124" s="23" t="str">
        <x:v>Required master data and user exist.</x:v>
      </x:c>
      <x:c r="L124" s="23" t="str">
        <x:v>Use dedicated non-production test data.</x:v>
      </x:c>
      <x:c r="M124" s="23" t="str">
        <x:v>1. Sign in as Pathologist. 2. Leave a required result empty. 3. Save or submit. 4. Refresh or reopen the record. 5. Compare the result with the pass condition.</x:v>
      </x:c>
      <x:c r="N124" s="23" t="str">
        <x:v>Review is blocked.</x:v>
      </x:c>
      <x:c r="O124" s="26" t="str">
        <x:v>Not Run</x:v>
      </x:c>
      <x:c r="P124" s="26" t="str"/>
      <x:c r="Q124" s="26" t="str"/>
      <x:c r="R124" s="26" t="str"/>
      <x:c r="S124" s="26" t="str"/>
      <x:c r="T124" s="26" t="str"/>
      <x:c r="U124" s="26" t="str">
        <x:v>QA</x:v>
      </x:c>
      <x:c r="V124" s="26" t="str"/>
      <x:c r="W124" s="29" t="str"/>
      <x:c r="X124" s="26" t="str"/>
      <x:c r="Y124" s="26" t="str">
        <x:v>Not Required</x:v>
      </x:c>
      <x:c r="Z124" s="26" t="str"/>
      <x:c r="AA124" s="28" t="n">
        <x:f>IF(OR(O124="Passed",O124="Failed",O124="Blocked"),1,0)</x:f>
        <x:v>0</x:v>
      </x:c>
      <x:c r="AB124" s="28" t="n">
        <x:f>IF(O124="Passed",1,0)</x:f>
        <x:v>0</x:v>
      </x:c>
      <x:c r="AC124" s="28" t="n">
        <x:f>IF(AND(OR(R124="Critical",R124="High"),OR(O124="Failed",O124="Blocked"),S124&lt;&gt;"Closed",S124&lt;&gt;"Rejected"),1,0)</x:f>
        <x:v>0</x:v>
      </x:c>
      <x:c r="AD124" s="28" t="n">
        <x:f>IF(X124&lt;&gt;"",1,0)</x:f>
        <x:v>0</x:v>
      </x:c>
      <x:c r="AE124" s="28" t="n">
        <x:f>IF(J124&lt;&gt;"",1,0)</x:f>
        <x:v>0</x:v>
      </x:c>
    </x:row>
    <x:row r="125">
      <x:c r="A125" s="23" t="str">
        <x:v>L2-094</x:v>
      </x:c>
      <x:c r="B125" s="23" t="str">
        <x:v>Level 2</x:v>
      </x:c>
      <x:c r="C125" s="23" t="str">
        <x:v>Reports</x:v>
      </x:c>
      <x:c r="D125" s="23" t="str"/>
      <x:c r="E125" s="23" t="str">
        <x:v>Invalid numeric result</x:v>
      </x:c>
      <x:c r="F125" s="23" t="str">
        <x:v>Functional</x:v>
      </x:c>
      <x:c r="G125" s="23" t="str">
        <x:v>Pathologist</x:v>
      </x:c>
      <x:c r="H125" s="23" t="str">
        <x:v>Medium</x:v>
      </x:c>
      <x:c r="I125" s="23" t="str">
        <x:v>No</x:v>
      </x:c>
      <x:c r="J125" s="23" t="str"/>
      <x:c r="K125" s="23" t="str">
        <x:v>Required master data and user exist.</x:v>
      </x:c>
      <x:c r="L125" s="23" t="str">
        <x:v>Use dedicated non-production test data.</x:v>
      </x:c>
      <x:c r="M125" s="23" t="str">
        <x:v>1. Sign in as Pathologist. 2. Enter text or exponential notation in a numeric field. 3. Save or submit. 4. Refresh or reopen the record. 5. Compare the result with the pass condition.</x:v>
      </x:c>
      <x:c r="N125" s="23" t="str">
        <x:v>Invalid input is blocked.</x:v>
      </x:c>
      <x:c r="O125" s="26" t="str">
        <x:v>Not Run</x:v>
      </x:c>
      <x:c r="P125" s="26" t="str"/>
      <x:c r="Q125" s="26" t="str"/>
      <x:c r="R125" s="26" t="str"/>
      <x:c r="S125" s="26" t="str"/>
      <x:c r="T125" s="26" t="str"/>
      <x:c r="U125" s="26" t="str">
        <x:v>QA</x:v>
      </x:c>
      <x:c r="V125" s="26" t="str"/>
      <x:c r="W125" s="29" t="str"/>
      <x:c r="X125" s="26" t="str"/>
      <x:c r="Y125" s="26" t="str">
        <x:v>Not Required</x:v>
      </x:c>
      <x:c r="Z125" s="26" t="str"/>
      <x:c r="AA125" s="28" t="n">
        <x:f>IF(OR(O125="Passed",O125="Failed",O125="Blocked"),1,0)</x:f>
        <x:v>0</x:v>
      </x:c>
      <x:c r="AB125" s="28" t="n">
        <x:f>IF(O125="Passed",1,0)</x:f>
        <x:v>0</x:v>
      </x:c>
      <x:c r="AC125" s="28" t="n">
        <x:f>IF(AND(OR(R125="Critical",R125="High"),OR(O125="Failed",O125="Blocked"),S125&lt;&gt;"Closed",S125&lt;&gt;"Rejected"),1,0)</x:f>
        <x:v>0</x:v>
      </x:c>
      <x:c r="AD125" s="28" t="n">
        <x:f>IF(X125&lt;&gt;"",1,0)</x:f>
        <x:v>0</x:v>
      </x:c>
      <x:c r="AE125" s="28" t="n">
        <x:f>IF(J125&lt;&gt;"",1,0)</x:f>
        <x:v>0</x:v>
      </x:c>
    </x:row>
    <x:row r="126">
      <x:c r="A126" s="23" t="str">
        <x:v>L2-095</x:v>
      </x:c>
      <x:c r="B126" s="23" t="str">
        <x:v>Level 2</x:v>
      </x:c>
      <x:c r="C126" s="23" t="str">
        <x:v>Reports</x:v>
      </x:c>
      <x:c r="D126" s="23" t="str"/>
      <x:c r="E126" s="23" t="str">
        <x:v>Boundary flags</x:v>
      </x:c>
      <x:c r="F126" s="23" t="str">
        <x:v>Functional</x:v>
      </x:c>
      <x:c r="G126" s="23" t="str">
        <x:v>Pathologist</x:v>
      </x:c>
      <x:c r="H126" s="23" t="str">
        <x:v>Medium</x:v>
      </x:c>
      <x:c r="I126" s="23" t="str">
        <x:v>No</x:v>
      </x:c>
      <x:c r="J126" s="23" t="str"/>
      <x:c r="K126" s="23" t="str">
        <x:v>Required master data and user exist.</x:v>
      </x:c>
      <x:c r="L126" s="23" t="str">
        <x:v>Use dedicated non-production test data.</x:v>
      </x:c>
      <x:c r="M126" s="23" t="str">
        <x:v>1. Sign in as Pathologist. 2. Enter values at and outside reference limits. 3. Save or submit. 4. Refresh or reopen the record. 5. Compare the result with the pass condition.</x:v>
      </x:c>
      <x:c r="N126" s="23" t="str">
        <x:v>Normal/low/high flags are correct.</x:v>
      </x:c>
      <x:c r="O126" s="26" t="str">
        <x:v>Not Run</x:v>
      </x:c>
      <x:c r="P126" s="26" t="str"/>
      <x:c r="Q126" s="26" t="str"/>
      <x:c r="R126" s="26" t="str"/>
      <x:c r="S126" s="26" t="str"/>
      <x:c r="T126" s="26" t="str"/>
      <x:c r="U126" s="26" t="str">
        <x:v>QA</x:v>
      </x:c>
      <x:c r="V126" s="26" t="str"/>
      <x:c r="W126" s="29" t="str"/>
      <x:c r="X126" s="26" t="str"/>
      <x:c r="Y126" s="26" t="str">
        <x:v>Not Required</x:v>
      </x:c>
      <x:c r="Z126" s="26" t="str"/>
      <x:c r="AA126" s="28" t="n">
        <x:f>IF(OR(O126="Passed",O126="Failed",O126="Blocked"),1,0)</x:f>
        <x:v>0</x:v>
      </x:c>
      <x:c r="AB126" s="28" t="n">
        <x:f>IF(O126="Passed",1,0)</x:f>
        <x:v>0</x:v>
      </x:c>
      <x:c r="AC126" s="28" t="n">
        <x:f>IF(AND(OR(R126="Critical",R126="High"),OR(O126="Failed",O126="Blocked"),S126&lt;&gt;"Closed",S126&lt;&gt;"Rejected"),1,0)</x:f>
        <x:v>0</x:v>
      </x:c>
      <x:c r="AD126" s="28" t="n">
        <x:f>IF(X126&lt;&gt;"",1,0)</x:f>
        <x:v>0</x:v>
      </x:c>
      <x:c r="AE126" s="28" t="n">
        <x:f>IF(J126&lt;&gt;"",1,0)</x:f>
        <x:v>0</x:v>
      </x:c>
    </x:row>
    <x:row r="127">
      <x:c r="A127" s="23" t="str">
        <x:v>L2-096</x:v>
      </x:c>
      <x:c r="B127" s="23" t="str">
        <x:v>Level 2</x:v>
      </x:c>
      <x:c r="C127" s="23" t="str">
        <x:v>Reports</x:v>
      </x:c>
      <x:c r="D127" s="23" t="str"/>
      <x:c r="E127" s="23" t="str">
        <x:v>Draft edit</x:v>
      </x:c>
      <x:c r="F127" s="23" t="str">
        <x:v>Functional</x:v>
      </x:c>
      <x:c r="G127" s="23" t="str">
        <x:v>Pathologist</x:v>
      </x:c>
      <x:c r="H127" s="23" t="str">
        <x:v>Medium</x:v>
      </x:c>
      <x:c r="I127" s="23" t="str">
        <x:v>No</x:v>
      </x:c>
      <x:c r="J127" s="23" t="str"/>
      <x:c r="K127" s="23" t="str">
        <x:v>Required master data and user exist.</x:v>
      </x:c>
      <x:c r="L127" s="23" t="str">
        <x:v>Use dedicated non-production test data.</x:v>
      </x:c>
      <x:c r="M127" s="23" t="str">
        <x:v>1. Sign in as Pathologist. 2. Edit a Draft report. 3. Save or submit. 4. Refresh or reopen the record. 5. Compare the result with the pass condition.</x:v>
      </x:c>
      <x:c r="N127" s="23" t="str">
        <x:v>Changes save and version behavior is correct.</x:v>
      </x:c>
      <x:c r="O127" s="26" t="str">
        <x:v>Not Run</x:v>
      </x:c>
      <x:c r="P127" s="26" t="str"/>
      <x:c r="Q127" s="26" t="str"/>
      <x:c r="R127" s="26" t="str"/>
      <x:c r="S127" s="26" t="str"/>
      <x:c r="T127" s="26" t="str"/>
      <x:c r="U127" s="26" t="str">
        <x:v>QA</x:v>
      </x:c>
      <x:c r="V127" s="26" t="str"/>
      <x:c r="W127" s="29" t="str"/>
      <x:c r="X127" s="26" t="str"/>
      <x:c r="Y127" s="26" t="str">
        <x:v>Not Required</x:v>
      </x:c>
      <x:c r="Z127" s="26" t="str"/>
      <x:c r="AA127" s="28" t="n">
        <x:f>IF(OR(O127="Passed",O127="Failed",O127="Blocked"),1,0)</x:f>
        <x:v>0</x:v>
      </x:c>
      <x:c r="AB127" s="28" t="n">
        <x:f>IF(O127="Passed",1,0)</x:f>
        <x:v>0</x:v>
      </x:c>
      <x:c r="AC127" s="28" t="n">
        <x:f>IF(AND(OR(R127="Critical",R127="High"),OR(O127="Failed",O127="Blocked"),S127&lt;&gt;"Closed",S127&lt;&gt;"Rejected"),1,0)</x:f>
        <x:v>0</x:v>
      </x:c>
      <x:c r="AD127" s="28" t="n">
        <x:f>IF(X127&lt;&gt;"",1,0)</x:f>
        <x:v>0</x:v>
      </x:c>
      <x:c r="AE127" s="28" t="n">
        <x:f>IF(J127&lt;&gt;"",1,0)</x:f>
        <x:v>0</x:v>
      </x:c>
    </x:row>
    <x:row r="128">
      <x:c r="A128" s="23" t="str">
        <x:v>L2-097</x:v>
      </x:c>
      <x:c r="B128" s="23" t="str">
        <x:v>Level 2</x:v>
      </x:c>
      <x:c r="C128" s="23" t="str">
        <x:v>Reports</x:v>
      </x:c>
      <x:c r="D128" s="23" t="str"/>
      <x:c r="E128" s="23" t="str">
        <x:v>Reviewed edit</x:v>
      </x:c>
      <x:c r="F128" s="23" t="str">
        <x:v>Functional</x:v>
      </x:c>
      <x:c r="G128" s="23" t="str">
        <x:v>Pathologist</x:v>
      </x:c>
      <x:c r="H128" s="23" t="str">
        <x:v>Medium</x:v>
      </x:c>
      <x:c r="I128" s="23" t="str">
        <x:v>No</x:v>
      </x:c>
      <x:c r="J128" s="23" t="str"/>
      <x:c r="K128" s="23" t="str">
        <x:v>Required master data and user exist.</x:v>
      </x:c>
      <x:c r="L128" s="23" t="str">
        <x:v>Use dedicated non-production test data.</x:v>
      </x:c>
      <x:c r="M128" s="23" t="str">
        <x:v>1. Sign in as Pathologist. 2. Try to edit a Reviewed report as a typist. 3. Save or submit. 4. Refresh or reopen the record. 5. Compare the result with the pass condition.</x:v>
      </x:c>
      <x:c r="N128" s="23" t="str">
        <x:v>Unauthorized/status-invalid edit is blocked.</x:v>
      </x:c>
      <x:c r="O128" s="26" t="str">
        <x:v>Not Run</x:v>
      </x:c>
      <x:c r="P128" s="26" t="str"/>
      <x:c r="Q128" s="26" t="str"/>
      <x:c r="R128" s="26" t="str"/>
      <x:c r="S128" s="26" t="str"/>
      <x:c r="T128" s="26" t="str"/>
      <x:c r="U128" s="26" t="str">
        <x:v>QA</x:v>
      </x:c>
      <x:c r="V128" s="26" t="str"/>
      <x:c r="W128" s="29" t="str"/>
      <x:c r="X128" s="26" t="str"/>
      <x:c r="Y128" s="26" t="str">
        <x:v>Not Required</x:v>
      </x:c>
      <x:c r="Z128" s="26" t="str"/>
      <x:c r="AA128" s="28" t="n">
        <x:f>IF(OR(O128="Passed",O128="Failed",O128="Blocked"),1,0)</x:f>
        <x:v>0</x:v>
      </x:c>
      <x:c r="AB128" s="28" t="n">
        <x:f>IF(O128="Passed",1,0)</x:f>
        <x:v>0</x:v>
      </x:c>
      <x:c r="AC128" s="28" t="n">
        <x:f>IF(AND(OR(R128="Critical",R128="High"),OR(O128="Failed",O128="Blocked"),S128&lt;&gt;"Closed",S128&lt;&gt;"Rejected"),1,0)</x:f>
        <x:v>0</x:v>
      </x:c>
      <x:c r="AD128" s="28" t="n">
        <x:f>IF(X128&lt;&gt;"",1,0)</x:f>
        <x:v>0</x:v>
      </x:c>
      <x:c r="AE128" s="28" t="n">
        <x:f>IF(J128&lt;&gt;"",1,0)</x:f>
        <x:v>0</x:v>
      </x:c>
    </x:row>
    <x:row r="129">
      <x:c r="A129" s="23" t="str">
        <x:v>L2-098</x:v>
      </x:c>
      <x:c r="B129" s="23" t="str">
        <x:v>Level 2</x:v>
      </x:c>
      <x:c r="C129" s="23" t="str">
        <x:v>Reports</x:v>
      </x:c>
      <x:c r="D129" s="23" t="str"/>
      <x:c r="E129" s="23" t="str">
        <x:v>Status sequence</x:v>
      </x:c>
      <x:c r="F129" s="23" t="str">
        <x:v>Functional</x:v>
      </x:c>
      <x:c r="G129" s="23" t="str">
        <x:v>Pathologist</x:v>
      </x:c>
      <x:c r="H129" s="23" t="str">
        <x:v>Medium</x:v>
      </x:c>
      <x:c r="I129" s="23" t="str">
        <x:v>No</x:v>
      </x:c>
      <x:c r="J129" s="23" t="str"/>
      <x:c r="K129" s="23" t="str">
        <x:v>Required master data and user exist.</x:v>
      </x:c>
      <x:c r="L129" s="23" t="str">
        <x:v>Use dedicated non-production test data.</x:v>
      </x:c>
      <x:c r="M129" s="23" t="str">
        <x:v>1. Sign in as Pathologist. 2. Move Draft to Reviewed to Approved to Released. 3. Save or submit. 4. Refresh or reopen the record. 5. Compare the result with the pass condition.</x:v>
      </x:c>
      <x:c r="N129" s="23" t="str">
        <x:v>Only the correct sequence works.</x:v>
      </x:c>
      <x:c r="O129" s="26" t="str">
        <x:v>Not Run</x:v>
      </x:c>
      <x:c r="P129" s="26" t="str"/>
      <x:c r="Q129" s="26" t="str"/>
      <x:c r="R129" s="26" t="str"/>
      <x:c r="S129" s="26" t="str"/>
      <x:c r="T129" s="26" t="str"/>
      <x:c r="U129" s="26" t="str">
        <x:v>QA</x:v>
      </x:c>
      <x:c r="V129" s="26" t="str"/>
      <x:c r="W129" s="29" t="str"/>
      <x:c r="X129" s="26" t="str"/>
      <x:c r="Y129" s="26" t="str">
        <x:v>Not Required</x:v>
      </x:c>
      <x:c r="Z129" s="26" t="str"/>
      <x:c r="AA129" s="28" t="n">
        <x:f>IF(OR(O129="Passed",O129="Failed",O129="Blocked"),1,0)</x:f>
        <x:v>0</x:v>
      </x:c>
      <x:c r="AB129" s="28" t="n">
        <x:f>IF(O129="Passed",1,0)</x:f>
        <x:v>0</x:v>
      </x:c>
      <x:c r="AC129" s="28" t="n">
        <x:f>IF(AND(OR(R129="Critical",R129="High"),OR(O129="Failed",O129="Blocked"),S129&lt;&gt;"Closed",S129&lt;&gt;"Rejected"),1,0)</x:f>
        <x:v>0</x:v>
      </x:c>
      <x:c r="AD129" s="28" t="n">
        <x:f>IF(X129&lt;&gt;"",1,0)</x:f>
        <x:v>0</x:v>
      </x:c>
      <x:c r="AE129" s="28" t="n">
        <x:f>IF(J129&lt;&gt;"",1,0)</x:f>
        <x:v>0</x:v>
      </x:c>
    </x:row>
    <x:row r="130">
      <x:c r="A130" s="23" t="str">
        <x:v>L2-099</x:v>
      </x:c>
      <x:c r="B130" s="23" t="str">
        <x:v>Level 2</x:v>
      </x:c>
      <x:c r="C130" s="23" t="str">
        <x:v>Reports</x:v>
      </x:c>
      <x:c r="D130" s="23" t="str"/>
      <x:c r="E130" s="23" t="str">
        <x:v>Skip approval</x:v>
      </x:c>
      <x:c r="F130" s="23" t="str">
        <x:v>Functional</x:v>
      </x:c>
      <x:c r="G130" s="23" t="str">
        <x:v>Pathologist</x:v>
      </x:c>
      <x:c r="H130" s="23" t="str">
        <x:v>Medium</x:v>
      </x:c>
      <x:c r="I130" s="23" t="str">
        <x:v>No</x:v>
      </x:c>
      <x:c r="J130" s="23" t="str"/>
      <x:c r="K130" s="23" t="str">
        <x:v>Required master data and user exist.</x:v>
      </x:c>
      <x:c r="L130" s="23" t="str">
        <x:v>Use dedicated non-production test data.</x:v>
      </x:c>
      <x:c r="M130" s="23" t="str">
        <x:v>1. Sign in as Pathologist. 2. Release Draft or Reviewed report. 3. Save or submit. 4. Refresh or reopen the record. 5. Compare the result with the pass condition.</x:v>
      </x:c>
      <x:c r="N130" s="23" t="str">
        <x:v>Release is blocked.</x:v>
      </x:c>
      <x:c r="O130" s="26" t="str">
        <x:v>Not Run</x:v>
      </x:c>
      <x:c r="P130" s="26" t="str"/>
      <x:c r="Q130" s="26" t="str"/>
      <x:c r="R130" s="26" t="str"/>
      <x:c r="S130" s="26" t="str"/>
      <x:c r="T130" s="26" t="str"/>
      <x:c r="U130" s="26" t="str">
        <x:v>QA</x:v>
      </x:c>
      <x:c r="V130" s="26" t="str"/>
      <x:c r="W130" s="29" t="str"/>
      <x:c r="X130" s="26" t="str"/>
      <x:c r="Y130" s="26" t="str">
        <x:v>Not Required</x:v>
      </x:c>
      <x:c r="Z130" s="26" t="str"/>
      <x:c r="AA130" s="28" t="n">
        <x:f>IF(OR(O130="Passed",O130="Failed",O130="Blocked"),1,0)</x:f>
        <x:v>0</x:v>
      </x:c>
      <x:c r="AB130" s="28" t="n">
        <x:f>IF(O130="Passed",1,0)</x:f>
        <x:v>0</x:v>
      </x:c>
      <x:c r="AC130" s="28" t="n">
        <x:f>IF(AND(OR(R130="Critical",R130="High"),OR(O130="Failed",O130="Blocked"),S130&lt;&gt;"Closed",S130&lt;&gt;"Rejected"),1,0)</x:f>
        <x:v>0</x:v>
      </x:c>
      <x:c r="AD130" s="28" t="n">
        <x:f>IF(X130&lt;&gt;"",1,0)</x:f>
        <x:v>0</x:v>
      </x:c>
      <x:c r="AE130" s="28" t="n">
        <x:f>IF(J130&lt;&gt;"",1,0)</x:f>
        <x:v>0</x:v>
      </x:c>
    </x:row>
    <x:row r="131">
      <x:c r="A131" s="23" t="str">
        <x:v>L2-100</x:v>
      </x:c>
      <x:c r="B131" s="23" t="str">
        <x:v>Level 2</x:v>
      </x:c>
      <x:c r="C131" s="23" t="str">
        <x:v>Reports</x:v>
      </x:c>
      <x:c r="D131" s="23" t="str"/>
      <x:c r="E131" s="23" t="str">
        <x:v>Wrong role release</x:v>
      </x:c>
      <x:c r="F131" s="23" t="str">
        <x:v>Functional</x:v>
      </x:c>
      <x:c r="G131" s="23" t="str">
        <x:v>Pathologist</x:v>
      </x:c>
      <x:c r="H131" s="23" t="str">
        <x:v>Medium</x:v>
      </x:c>
      <x:c r="I131" s="23" t="str">
        <x:v>No</x:v>
      </x:c>
      <x:c r="J131" s="23" t="str"/>
      <x:c r="K131" s="23" t="str">
        <x:v>Required master data and user exist.</x:v>
      </x:c>
      <x:c r="L131" s="23" t="str">
        <x:v>Use dedicated non-production test data.</x:v>
      </x:c>
      <x:c r="M131" s="23" t="str">
        <x:v>1. Sign in as Pathologist. 2. Release as Technician or Front Desk without permission. 3. Save or submit. 4. Refresh or reopen the record. 5. Compare the result with the pass condition.</x:v>
      </x:c>
      <x:c r="N131" s="23" t="str">
        <x:v>Server and UI deny release.</x:v>
      </x:c>
      <x:c r="O131" s="26" t="str">
        <x:v>Not Run</x:v>
      </x:c>
      <x:c r="P131" s="26" t="str"/>
      <x:c r="Q131" s="26" t="str"/>
      <x:c r="R131" s="26" t="str"/>
      <x:c r="S131" s="26" t="str"/>
      <x:c r="T131" s="26" t="str"/>
      <x:c r="U131" s="26" t="str">
        <x:v>QA</x:v>
      </x:c>
      <x:c r="V131" s="26" t="str"/>
      <x:c r="W131" s="29" t="str"/>
      <x:c r="X131" s="26" t="str"/>
      <x:c r="Y131" s="26" t="str">
        <x:v>Not Required</x:v>
      </x:c>
      <x:c r="Z131" s="26" t="str"/>
      <x:c r="AA131" s="28" t="n">
        <x:f>IF(OR(O131="Passed",O131="Failed",O131="Blocked"),1,0)</x:f>
        <x:v>0</x:v>
      </x:c>
      <x:c r="AB131" s="28" t="n">
        <x:f>IF(O131="Passed",1,0)</x:f>
        <x:v>0</x:v>
      </x:c>
      <x:c r="AC131" s="28" t="n">
        <x:f>IF(AND(OR(R131="Critical",R131="High"),OR(O131="Failed",O131="Blocked"),S131&lt;&gt;"Closed",S131&lt;&gt;"Rejected"),1,0)</x:f>
        <x:v>0</x:v>
      </x:c>
      <x:c r="AD131" s="28" t="n">
        <x:f>IF(X131&lt;&gt;"",1,0)</x:f>
        <x:v>0</x:v>
      </x:c>
      <x:c r="AE131" s="28" t="n">
        <x:f>IF(J131&lt;&gt;"",1,0)</x:f>
        <x:v>0</x:v>
      </x:c>
    </x:row>
    <x:row r="132">
      <x:c r="A132" s="23" t="str">
        <x:v>L2-101</x:v>
      </x:c>
      <x:c r="B132" s="23" t="str">
        <x:v>Level 2</x:v>
      </x:c>
      <x:c r="C132" s="23" t="str">
        <x:v>Reports</x:v>
      </x:c>
      <x:c r="D132" s="23" t="str"/>
      <x:c r="E132" s="23" t="str">
        <x:v>Previous versions</x:v>
      </x:c>
      <x:c r="F132" s="23" t="str">
        <x:v>Functional</x:v>
      </x:c>
      <x:c r="G132" s="23" t="str">
        <x:v>Pathologist</x:v>
      </x:c>
      <x:c r="H132" s="23" t="str">
        <x:v>Medium</x:v>
      </x:c>
      <x:c r="I132" s="23" t="str">
        <x:v>No</x:v>
      </x:c>
      <x:c r="J132" s="23" t="str"/>
      <x:c r="K132" s="23" t="str">
        <x:v>Required master data and user exist.</x:v>
      </x:c>
      <x:c r="L132" s="23" t="str">
        <x:v>Use dedicated non-production test data.</x:v>
      </x:c>
      <x:c r="M132" s="23" t="str">
        <x:v>1. Sign in as Pathologist. 2. Create a new report version. 3. Save or submit. 4. Refresh or reopen the record. 5. Compare the result with the pass condition.</x:v>
      </x:c>
      <x:c r="N132" s="23" t="str">
        <x:v>Prior values and metadata remain available to staff.</x:v>
      </x:c>
      <x:c r="O132" s="26" t="str">
        <x:v>Not Run</x:v>
      </x:c>
      <x:c r="P132" s="26" t="str"/>
      <x:c r="Q132" s="26" t="str"/>
      <x:c r="R132" s="26" t="str"/>
      <x:c r="S132" s="26" t="str"/>
      <x:c r="T132" s="26" t="str"/>
      <x:c r="U132" s="26" t="str">
        <x:v>QA</x:v>
      </x:c>
      <x:c r="V132" s="26" t="str"/>
      <x:c r="W132" s="29" t="str"/>
      <x:c r="X132" s="26" t="str"/>
      <x:c r="Y132" s="26" t="str">
        <x:v>Not Required</x:v>
      </x:c>
      <x:c r="Z132" s="26" t="str"/>
      <x:c r="AA132" s="28" t="n">
        <x:f>IF(OR(O132="Passed",O132="Failed",O132="Blocked"),1,0)</x:f>
        <x:v>0</x:v>
      </x:c>
      <x:c r="AB132" s="28" t="n">
        <x:f>IF(O132="Passed",1,0)</x:f>
        <x:v>0</x:v>
      </x:c>
      <x:c r="AC132" s="28" t="n">
        <x:f>IF(AND(OR(R132="Critical",R132="High"),OR(O132="Failed",O132="Blocked"),S132&lt;&gt;"Closed",S132&lt;&gt;"Rejected"),1,0)</x:f>
        <x:v>0</x:v>
      </x:c>
      <x:c r="AD132" s="28" t="n">
        <x:f>IF(X132&lt;&gt;"",1,0)</x:f>
        <x:v>0</x:v>
      </x:c>
      <x:c r="AE132" s="28" t="n">
        <x:f>IF(J132&lt;&gt;"",1,0)</x:f>
        <x:v>0</x:v>
      </x:c>
    </x:row>
    <x:row r="133">
      <x:c r="A133" s="23" t="str">
        <x:v>L2-102</x:v>
      </x:c>
      <x:c r="B133" s="23" t="str">
        <x:v>Level 2</x:v>
      </x:c>
      <x:c r="C133" s="23" t="str">
        <x:v>Reports</x:v>
      </x:c>
      <x:c r="D133" s="23" t="str"/>
      <x:c r="E133" s="23" t="str">
        <x:v>Released-only portal</x:v>
      </x:c>
      <x:c r="F133" s="23" t="str">
        <x:v>Functional</x:v>
      </x:c>
      <x:c r="G133" s="23" t="str">
        <x:v>Pathologist</x:v>
      </x:c>
      <x:c r="H133" s="23" t="str">
        <x:v>Medium</x:v>
      </x:c>
      <x:c r="I133" s="23" t="str">
        <x:v>No</x:v>
      </x:c>
      <x:c r="J133" s="23" t="str"/>
      <x:c r="K133" s="23" t="str">
        <x:v>Required master data and user exist.</x:v>
      </x:c>
      <x:c r="L133" s="23" t="str">
        <x:v>Use dedicated non-production test data.</x:v>
      </x:c>
      <x:c r="M133" s="23" t="str">
        <x:v>1. Sign in as Pathologist. 2. Query every report status from both portals. 3. Save or submit. 4. Refresh or reopen the record. 5. Compare the result with the pass condition.</x:v>
      </x:c>
      <x:c r="N133" s="23" t="str">
        <x:v>Only Released is returned.</x:v>
      </x:c>
      <x:c r="O133" s="26" t="str">
        <x:v>Not Run</x:v>
      </x:c>
      <x:c r="P133" s="26" t="str"/>
      <x:c r="Q133" s="26" t="str"/>
      <x:c r="R133" s="26" t="str"/>
      <x:c r="S133" s="26" t="str"/>
      <x:c r="T133" s="26" t="str"/>
      <x:c r="U133" s="26" t="str">
        <x:v>QA</x:v>
      </x:c>
      <x:c r="V133" s="26" t="str"/>
      <x:c r="W133" s="29" t="str"/>
      <x:c r="X133" s="26" t="str"/>
      <x:c r="Y133" s="26" t="str">
        <x:v>Not Required</x:v>
      </x:c>
      <x:c r="Z133" s="26" t="str"/>
      <x:c r="AA133" s="28" t="n">
        <x:f>IF(OR(O133="Passed",O133="Failed",O133="Blocked"),1,0)</x:f>
        <x:v>0</x:v>
      </x:c>
      <x:c r="AB133" s="28" t="n">
        <x:f>IF(O133="Passed",1,0)</x:f>
        <x:v>0</x:v>
      </x:c>
      <x:c r="AC133" s="28" t="n">
        <x:f>IF(AND(OR(R133="Critical",R133="High"),OR(O133="Failed",O133="Blocked"),S133&lt;&gt;"Closed",S133&lt;&gt;"Rejected"),1,0)</x:f>
        <x:v>0</x:v>
      </x:c>
      <x:c r="AD133" s="28" t="n">
        <x:f>IF(X133&lt;&gt;"",1,0)</x:f>
        <x:v>0</x:v>
      </x:c>
      <x:c r="AE133" s="28" t="n">
        <x:f>IF(J133&lt;&gt;"",1,0)</x:f>
        <x:v>0</x:v>
      </x:c>
    </x:row>
    <x:row r="134">
      <x:c r="A134" s="23" t="str">
        <x:v>L2-103</x:v>
      </x:c>
      <x:c r="B134" s="23" t="str">
        <x:v>Level 2</x:v>
      </x:c>
      <x:c r="C134" s="23" t="str">
        <x:v>Reports</x:v>
      </x:c>
      <x:c r="D134" s="23" t="str"/>
      <x:c r="E134" s="23" t="str">
        <x:v>Print permission</x:v>
      </x:c>
      <x:c r="F134" s="23" t="str">
        <x:v>Functional</x:v>
      </x:c>
      <x:c r="G134" s="23" t="str">
        <x:v>Pathologist</x:v>
      </x:c>
      <x:c r="H134" s="23" t="str">
        <x:v>Medium</x:v>
      </x:c>
      <x:c r="I134" s="23" t="str">
        <x:v>No</x:v>
      </x:c>
      <x:c r="J134" s="23" t="str"/>
      <x:c r="K134" s="23" t="str">
        <x:v>Required master data and user exist.</x:v>
      </x:c>
      <x:c r="L134" s="23" t="str">
        <x:v>Use dedicated non-production test data.</x:v>
      </x:c>
      <x:c r="M134" s="23" t="str">
        <x:v>1. Sign in as Pathologist. 2. Print as allowed and disallowed roles. 3. Save or submit. 4. Refresh or reopen the record. 5. Compare the result with the pass condition.</x:v>
      </x:c>
      <x:c r="N134" s="23" t="str">
        <x:v>Permission is enforced.</x:v>
      </x:c>
      <x:c r="O134" s="26" t="str">
        <x:v>Not Run</x:v>
      </x:c>
      <x:c r="P134" s="26" t="str"/>
      <x:c r="Q134" s="26" t="str"/>
      <x:c r="R134" s="26" t="str"/>
      <x:c r="S134" s="26" t="str"/>
      <x:c r="T134" s="26" t="str"/>
      <x:c r="U134" s="26" t="str">
        <x:v>QA</x:v>
      </x:c>
      <x:c r="V134" s="26" t="str"/>
      <x:c r="W134" s="29" t="str"/>
      <x:c r="X134" s="26" t="str"/>
      <x:c r="Y134" s="26" t="str">
        <x:v>Not Required</x:v>
      </x:c>
      <x:c r="Z134" s="26" t="str"/>
      <x:c r="AA134" s="28" t="n">
        <x:f>IF(OR(O134="Passed",O134="Failed",O134="Blocked"),1,0)</x:f>
        <x:v>0</x:v>
      </x:c>
      <x:c r="AB134" s="28" t="n">
        <x:f>IF(O134="Passed",1,0)</x:f>
        <x:v>0</x:v>
      </x:c>
      <x:c r="AC134" s="28" t="n">
        <x:f>IF(AND(OR(R134="Critical",R134="High"),OR(O134="Failed",O134="Blocked"),S134&lt;&gt;"Closed",S134&lt;&gt;"Rejected"),1,0)</x:f>
        <x:v>0</x:v>
      </x:c>
      <x:c r="AD134" s="28" t="n">
        <x:f>IF(X134&lt;&gt;"",1,0)</x:f>
        <x:v>0</x:v>
      </x:c>
      <x:c r="AE134" s="28" t="n">
        <x:f>IF(J134&lt;&gt;"",1,0)</x:f>
        <x:v>0</x:v>
      </x:c>
    </x:row>
    <x:row r="135">
      <x:c r="A135" s="23" t="str">
        <x:v>L2-104</x:v>
      </x:c>
      <x:c r="B135" s="23" t="str">
        <x:v>Level 2</x:v>
      </x:c>
      <x:c r="C135" s="23" t="str">
        <x:v>Reports</x:v>
      </x:c>
      <x:c r="D135" s="23" t="str"/>
      <x:c r="E135" s="23" t="str">
        <x:v>Branded PDF</x:v>
      </x:c>
      <x:c r="F135" s="23" t="str">
        <x:v>Functional</x:v>
      </x:c>
      <x:c r="G135" s="23" t="str">
        <x:v>Pathologist</x:v>
      </x:c>
      <x:c r="H135" s="23" t="str">
        <x:v>Medium</x:v>
      </x:c>
      <x:c r="I135" s="23" t="str">
        <x:v>No</x:v>
      </x:c>
      <x:c r="J135" s="23" t="str">
        <x:v>Final branded PDF polish</x:v>
      </x:c>
      <x:c r="K135" s="23" t="str">
        <x:v>Required master data and user exist.</x:v>
      </x:c>
      <x:c r="L135" s="23" t="str">
        <x:v>Use dedicated non-production test data.</x:v>
      </x:c>
      <x:c r="M135" s="23" t="str">
        <x:v>1. Sign in as Pathologist. 2. Download final report PDF. 3. Save or submit. 4. Refresh or reopen the record. 5. Compare the result with the pass condition.</x:v>
      </x:c>
      <x:c r="N135" s="23" t="str">
        <x:v>Brand, patient data, tests, units, ranges and pagination are correct.</x:v>
      </x:c>
      <x:c r="O135" s="26" t="str">
        <x:v>Not Run</x:v>
      </x:c>
      <x:c r="P135" s="26" t="str"/>
      <x:c r="Q135" s="26" t="str"/>
      <x:c r="R135" s="26" t="str"/>
      <x:c r="S135" s="26" t="str"/>
      <x:c r="T135" s="26" t="str"/>
      <x:c r="U135" s="26" t="str">
        <x:v>QA</x:v>
      </x:c>
      <x:c r="V135" s="26" t="str"/>
      <x:c r="W135" s="29" t="str"/>
      <x:c r="X135" s="26" t="str"/>
      <x:c r="Y135" s="26" t="str">
        <x:v>Not Required</x:v>
      </x:c>
      <x:c r="Z135" s="26" t="str"/>
      <x:c r="AA135" s="28" t="n">
        <x:f>IF(OR(O135="Passed",O135="Failed",O135="Blocked"),1,0)</x:f>
        <x:v>0</x:v>
      </x:c>
      <x:c r="AB135" s="28" t="n">
        <x:f>IF(O135="Passed",1,0)</x:f>
        <x:v>0</x:v>
      </x:c>
      <x:c r="AC135" s="28" t="n">
        <x:f>IF(AND(OR(R135="Critical",R135="High"),OR(O135="Failed",O135="Blocked"),S135&lt;&gt;"Closed",S135&lt;&gt;"Rejected"),1,0)</x:f>
        <x:v>0</x:v>
      </x:c>
      <x:c r="AD135" s="28" t="n">
        <x:f>IF(X135&lt;&gt;"",1,0)</x:f>
        <x:v>0</x:v>
      </x:c>
      <x:c r="AE135" s="28" t="n">
        <x:f>IF(J135&lt;&gt;"",1,0)</x:f>
        <x:v>1</x:v>
      </x:c>
    </x:row>
    <x:row r="136">
      <x:c r="A136" s="23" t="str">
        <x:v>L2-105</x:v>
      </x:c>
      <x:c r="B136" s="23" t="str">
        <x:v>Level 2</x:v>
      </x:c>
      <x:c r="C136" s="23" t="str">
        <x:v>Reports</x:v>
      </x:c>
      <x:c r="D136" s="23" t="str"/>
      <x:c r="E136" s="23" t="str">
        <x:v>Digital signature</x:v>
      </x:c>
      <x:c r="F136" s="23" t="str">
        <x:v>Functional</x:v>
      </x:c>
      <x:c r="G136" s="23" t="str">
        <x:v>Pathologist</x:v>
      </x:c>
      <x:c r="H136" s="23" t="str">
        <x:v>High</x:v>
      </x:c>
      <x:c r="I136" s="23" t="str">
        <x:v>No</x:v>
      </x:c>
      <x:c r="J136" s="23" t="str">
        <x:v>Digital signature</x:v>
      </x:c>
      <x:c r="K136" s="23" t="str">
        <x:v>Required master data and user exist.</x:v>
      </x:c>
      <x:c r="L136" s="23" t="str">
        <x:v>Use dedicated non-production test data.</x:v>
      </x:c>
      <x:c r="M136" s="23" t="str">
        <x:v>1. Sign in as Pathologist. 2. Release a signed report and verify signature display. 3. Save or submit. 4. Refresh or reopen the record. 5. Compare the result with the pass condition.</x:v>
      </x:c>
      <x:c r="N136" s="23" t="str">
        <x:v>Signature is authentic and shown correctly or the gap is blocked.</x:v>
      </x:c>
      <x:c r="O136" s="26" t="str">
        <x:v>Not Run</x:v>
      </x:c>
      <x:c r="P136" s="26" t="str"/>
      <x:c r="Q136" s="26" t="str"/>
      <x:c r="R136" s="26" t="str"/>
      <x:c r="S136" s="26" t="str"/>
      <x:c r="T136" s="26" t="str"/>
      <x:c r="U136" s="26" t="str">
        <x:v>QA</x:v>
      </x:c>
      <x:c r="V136" s="26" t="str"/>
      <x:c r="W136" s="29" t="str"/>
      <x:c r="X136" s="26" t="str"/>
      <x:c r="Y136" s="26" t="str">
        <x:v>Not Required</x:v>
      </x:c>
      <x:c r="Z136" s="26" t="str"/>
      <x:c r="AA136" s="28" t="n">
        <x:f>IF(OR(O136="Passed",O136="Failed",O136="Blocked"),1,0)</x:f>
        <x:v>0</x:v>
      </x:c>
      <x:c r="AB136" s="28" t="n">
        <x:f>IF(O136="Passed",1,0)</x:f>
        <x:v>0</x:v>
      </x:c>
      <x:c r="AC136" s="28" t="n">
        <x:f>IF(AND(OR(R136="Critical",R136="High"),OR(O136="Failed",O136="Blocked"),S136&lt;&gt;"Closed",S136&lt;&gt;"Rejected"),1,0)</x:f>
        <x:v>0</x:v>
      </x:c>
      <x:c r="AD136" s="28" t="n">
        <x:f>IF(X136&lt;&gt;"",1,0)</x:f>
        <x:v>0</x:v>
      </x:c>
      <x:c r="AE136" s="28" t="n">
        <x:f>IF(J136&lt;&gt;"",1,0)</x:f>
        <x:v>1</x:v>
      </x:c>
    </x:row>
    <x:row r="137">
      <x:c r="A137" s="23" t="str">
        <x:v>L2-106</x:v>
      </x:c>
      <x:c r="B137" s="23" t="str">
        <x:v>Level 2</x:v>
      </x:c>
      <x:c r="C137" s="23" t="str">
        <x:v>Reports</x:v>
      </x:c>
      <x:c r="D137" s="23" t="str"/>
      <x:c r="E137" s="23" t="str">
        <x:v>Post-release correction</x:v>
      </x:c>
      <x:c r="F137" s="23" t="str">
        <x:v>Functional</x:v>
      </x:c>
      <x:c r="G137" s="23" t="str">
        <x:v>Pathologist</x:v>
      </x:c>
      <x:c r="H137" s="23" t="str">
        <x:v>Critical</x:v>
      </x:c>
      <x:c r="I137" s="23" t="str">
        <x:v>Yes</x:v>
      </x:c>
      <x:c r="J137" s="23" t="str">
        <x:v>Correction approval workflow</x:v>
      </x:c>
      <x:c r="K137" s="23" t="str">
        <x:v>Required master data and user exist.</x:v>
      </x:c>
      <x:c r="L137" s="23" t="str">
        <x:v>Use dedicated non-production test data.</x:v>
      </x:c>
      <x:c r="M137" s="23" t="str">
        <x:v>1. Sign in as Pathologist. 2. Correct a Released report with a reason and approval. 3. Save or submit. 4. Refresh or reopen the record. 5. Compare the result with the pass condition.</x:v>
      </x:c>
      <x:c r="N137" s="23" t="str">
        <x:v>Original remains; amendment is approved and portals show correct version.</x:v>
      </x:c>
      <x:c r="O137" s="26" t="str">
        <x:v>Not Run</x:v>
      </x:c>
      <x:c r="P137" s="26" t="str"/>
      <x:c r="Q137" s="26" t="str"/>
      <x:c r="R137" s="26" t="str"/>
      <x:c r="S137" s="26" t="str"/>
      <x:c r="T137" s="26" t="str"/>
      <x:c r="U137" s="26" t="str">
        <x:v>QA</x:v>
      </x:c>
      <x:c r="V137" s="26" t="str"/>
      <x:c r="W137" s="29" t="str"/>
      <x:c r="X137" s="26" t="str"/>
      <x:c r="Y137" s="26" t="str">
        <x:v>Not Required</x:v>
      </x:c>
      <x:c r="Z137" s="26" t="str"/>
      <x:c r="AA137" s="28" t="n">
        <x:f>IF(OR(O137="Passed",O137="Failed",O137="Blocked"),1,0)</x:f>
        <x:v>0</x:v>
      </x:c>
      <x:c r="AB137" s="28" t="n">
        <x:f>IF(O137="Passed",1,0)</x:f>
        <x:v>0</x:v>
      </x:c>
      <x:c r="AC137" s="28" t="n">
        <x:f>IF(AND(OR(R137="Critical",R137="High"),OR(O137="Failed",O137="Blocked"),S137&lt;&gt;"Closed",S137&lt;&gt;"Rejected"),1,0)</x:f>
        <x:v>0</x:v>
      </x:c>
      <x:c r="AD137" s="28" t="n">
        <x:f>IF(X137&lt;&gt;"",1,0)</x:f>
        <x:v>0</x:v>
      </x:c>
      <x:c r="AE137" s="28" t="n">
        <x:f>IF(J137&lt;&gt;"",1,0)</x:f>
        <x:v>1</x:v>
      </x:c>
    </x:row>
    <x:row r="138">
      <x:c r="A138" s="23" t="str">
        <x:v>L2-107</x:v>
      </x:c>
      <x:c r="B138" s="23" t="str">
        <x:v>Level 2</x:v>
      </x:c>
      <x:c r="C138" s="23" t="str">
        <x:v>Reports</x:v>
      </x:c>
      <x:c r="D138" s="23" t="str"/>
      <x:c r="E138" s="23" t="str">
        <x:v>Critical result</x:v>
      </x:c>
      <x:c r="F138" s="23" t="str">
        <x:v>Functional</x:v>
      </x:c>
      <x:c r="G138" s="23" t="str">
        <x:v>Pathologist</x:v>
      </x:c>
      <x:c r="H138" s="23" t="str">
        <x:v>Critical</x:v>
      </x:c>
      <x:c r="I138" s="23" t="str">
        <x:v>Yes</x:v>
      </x:c>
      <x:c r="J138" s="23" t="str">
        <x:v>Critical-value workflow decision</x:v>
      </x:c>
      <x:c r="K138" s="23" t="str">
        <x:v>Required master data and user exist.</x:v>
      </x:c>
      <x:c r="L138" s="23" t="str">
        <x:v>Use dedicated non-production test data.</x:v>
      </x:c>
      <x:c r="M138" s="23" t="str">
        <x:v>1. Sign in as Pathologist. 2. Enter a configured critical result. 3. Save or submit. 4. Refresh or reopen the record. 5. Compare the result with the pass condition.</x:v>
      </x:c>
      <x:c r="N138" s="23" t="str">
        <x:v>Alert/acknowledgement follows policy.</x:v>
      </x:c>
      <x:c r="O138" s="26" t="str">
        <x:v>Not Run</x:v>
      </x:c>
      <x:c r="P138" s="26" t="str"/>
      <x:c r="Q138" s="26" t="str"/>
      <x:c r="R138" s="26" t="str"/>
      <x:c r="S138" s="26" t="str"/>
      <x:c r="T138" s="26" t="str"/>
      <x:c r="U138" s="26" t="str">
        <x:v>QA</x:v>
      </x:c>
      <x:c r="V138" s="26" t="str"/>
      <x:c r="W138" s="29" t="str"/>
      <x:c r="X138" s="26" t="str"/>
      <x:c r="Y138" s="26" t="str">
        <x:v>Not Required</x:v>
      </x:c>
      <x:c r="Z138" s="26" t="str"/>
      <x:c r="AA138" s="28" t="n">
        <x:f>IF(OR(O138="Passed",O138="Failed",O138="Blocked"),1,0)</x:f>
        <x:v>0</x:v>
      </x:c>
      <x:c r="AB138" s="28" t="n">
        <x:f>IF(O138="Passed",1,0)</x:f>
        <x:v>0</x:v>
      </x:c>
      <x:c r="AC138" s="28" t="n">
        <x:f>IF(AND(OR(R138="Critical",R138="High"),OR(O138="Failed",O138="Blocked"),S138&lt;&gt;"Closed",S138&lt;&gt;"Rejected"),1,0)</x:f>
        <x:v>0</x:v>
      </x:c>
      <x:c r="AD138" s="28" t="n">
        <x:f>IF(X138&lt;&gt;"",1,0)</x:f>
        <x:v>0</x:v>
      </x:c>
      <x:c r="AE138" s="28" t="n">
        <x:f>IF(J138&lt;&gt;"",1,0)</x:f>
        <x:v>1</x:v>
      </x:c>
    </x:row>
    <x:row r="139">
      <x:c r="A139" s="23" t="str">
        <x:v>L2-108</x:v>
      </x:c>
      <x:c r="B139" s="23" t="str">
        <x:v>Level 2</x:v>
      </x:c>
      <x:c r="C139" s="23" t="str">
        <x:v>Reports</x:v>
      </x:c>
      <x:c r="D139" s="23" t="str"/>
      <x:c r="E139" s="23" t="str">
        <x:v>Release audit</x:v>
      </x:c>
      <x:c r="F139" s="23" t="str">
        <x:v>Functional</x:v>
      </x:c>
      <x:c r="G139" s="23" t="str">
        <x:v>Pathologist</x:v>
      </x:c>
      <x:c r="H139" s="23" t="str">
        <x:v>Critical</x:v>
      </x:c>
      <x:c r="I139" s="23" t="str">
        <x:v>Yes</x:v>
      </x:c>
      <x:c r="J139" s="23" t="str">
        <x:v>Complete report audit</x:v>
      </x:c>
      <x:c r="K139" s="23" t="str">
        <x:v>Required master data and user exist.</x:v>
      </x:c>
      <x:c r="L139" s="23" t="str">
        <x:v>Use dedicated non-production test data.</x:v>
      </x:c>
      <x:c r="M139" s="23" t="str">
        <x:v>1. Sign in as Pathologist. 2. Review, approve, release and amend. 3. Save or submit. 4. Refresh or reopen the record. 5. Compare the result with the pass condition.</x:v>
      </x:c>
      <x:c r="N139" s="23" t="str">
        <x:v>Actor, time, status and version are auditable.</x:v>
      </x:c>
      <x:c r="O139" s="26" t="str">
        <x:v>Not Run</x:v>
      </x:c>
      <x:c r="P139" s="26" t="str"/>
      <x:c r="Q139" s="26" t="str"/>
      <x:c r="R139" s="26" t="str"/>
      <x:c r="S139" s="26" t="str"/>
      <x:c r="T139" s="26" t="str"/>
      <x:c r="U139" s="26" t="str">
        <x:v>QA</x:v>
      </x:c>
      <x:c r="V139" s="26" t="str"/>
      <x:c r="W139" s="29" t="str"/>
      <x:c r="X139" s="26" t="str"/>
      <x:c r="Y139" s="26" t="str">
        <x:v>Not Required</x:v>
      </x:c>
      <x:c r="Z139" s="26" t="str"/>
      <x:c r="AA139" s="28" t="n">
        <x:f>IF(OR(O139="Passed",O139="Failed",O139="Blocked"),1,0)</x:f>
        <x:v>0</x:v>
      </x:c>
      <x:c r="AB139" s="28" t="n">
        <x:f>IF(O139="Passed",1,0)</x:f>
        <x:v>0</x:v>
      </x:c>
      <x:c r="AC139" s="28" t="n">
        <x:f>IF(AND(OR(R139="Critical",R139="High"),OR(O139="Failed",O139="Blocked"),S139&lt;&gt;"Closed",S139&lt;&gt;"Rejected"),1,0)</x:f>
        <x:v>0</x:v>
      </x:c>
      <x:c r="AD139" s="28" t="n">
        <x:f>IF(X139&lt;&gt;"",1,0)</x:f>
        <x:v>0</x:v>
      </x:c>
      <x:c r="AE139" s="28" t="n">
        <x:f>IF(J139&lt;&gt;"",1,0)</x:f>
        <x:v>1</x:v>
      </x:c>
    </x:row>
    <x:row r="140">
      <x:c r="A140" s="23" t="str">
        <x:v>L2-109</x:v>
      </x:c>
      <x:c r="B140" s="23" t="str">
        <x:v>Level 2</x:v>
      </x:c>
      <x:c r="C140" s="23" t="str">
        <x:v>Inventory</x:v>
      </x:c>
      <x:c r="D140" s="23" t="str"/>
      <x:c r="E140" s="23" t="str">
        <x:v>Item master validation</x:v>
      </x:c>
      <x:c r="F140" s="23" t="str">
        <x:v>Functional</x:v>
      </x:c>
      <x:c r="G140" s="23" t="str">
        <x:v>Inventory Manager</x:v>
      </x:c>
      <x:c r="H140" s="23" t="str">
        <x:v>Medium</x:v>
      </x:c>
      <x:c r="I140" s="23" t="str">
        <x:v>No</x:v>
      </x:c>
      <x:c r="J140" s="23" t="str"/>
      <x:c r="K140" s="23" t="str">
        <x:v>Required master data and user exist.</x:v>
      </x:c>
      <x:c r="L140" s="23" t="str">
        <x:v>Use dedicated non-production test data.</x:v>
      </x:c>
      <x:c r="M140" s="23" t="str">
        <x:v>1. Sign in as Inventory Manager. 2. Create items with invalid/duplicate codes and valid data. 3. Save or submit. 4. Refresh or reopen the record. 5. Compare the result with the pass condition.</x:v>
      </x:c>
      <x:c r="N140" s="23" t="str">
        <x:v>Only valid unique item saves.</x:v>
      </x:c>
      <x:c r="O140" s="26" t="str">
        <x:v>Not Run</x:v>
      </x:c>
      <x:c r="P140" s="26" t="str"/>
      <x:c r="Q140" s="26" t="str"/>
      <x:c r="R140" s="26" t="str"/>
      <x:c r="S140" s="26" t="str"/>
      <x:c r="T140" s="26" t="str"/>
      <x:c r="U140" s="26" t="str">
        <x:v>QA</x:v>
      </x:c>
      <x:c r="V140" s="26" t="str"/>
      <x:c r="W140" s="29" t="str"/>
      <x:c r="X140" s="26" t="str"/>
      <x:c r="Y140" s="26" t="str">
        <x:v>Not Required</x:v>
      </x:c>
      <x:c r="Z140" s="26" t="str"/>
      <x:c r="AA140" s="28" t="n">
        <x:f>IF(OR(O140="Passed",O140="Failed",O140="Blocked"),1,0)</x:f>
        <x:v>0</x:v>
      </x:c>
      <x:c r="AB140" s="28" t="n">
        <x:f>IF(O140="Passed",1,0)</x:f>
        <x:v>0</x:v>
      </x:c>
      <x:c r="AC140" s="28" t="n">
        <x:f>IF(AND(OR(R140="Critical",R140="High"),OR(O140="Failed",O140="Blocked"),S140&lt;&gt;"Closed",S140&lt;&gt;"Rejected"),1,0)</x:f>
        <x:v>0</x:v>
      </x:c>
      <x:c r="AD140" s="28" t="n">
        <x:f>IF(X140&lt;&gt;"",1,0)</x:f>
        <x:v>0</x:v>
      </x:c>
      <x:c r="AE140" s="28" t="n">
        <x:f>IF(J140&lt;&gt;"",1,0)</x:f>
        <x:v>0</x:v>
      </x:c>
    </x:row>
    <x:row r="141">
      <x:c r="A141" s="23" t="str">
        <x:v>L2-110</x:v>
      </x:c>
      <x:c r="B141" s="23" t="str">
        <x:v>Level 2</x:v>
      </x:c>
      <x:c r="C141" s="23" t="str">
        <x:v>Inventory</x:v>
      </x:c>
      <x:c r="D141" s="23" t="str"/>
      <x:c r="E141" s="23" t="str">
        <x:v>UOM conversion</x:v>
      </x:c>
      <x:c r="F141" s="23" t="str">
        <x:v>Functional</x:v>
      </x:c>
      <x:c r="G141" s="23" t="str">
        <x:v>Inventory Manager</x:v>
      </x:c>
      <x:c r="H141" s="23" t="str">
        <x:v>Medium</x:v>
      </x:c>
      <x:c r="I141" s="23" t="str">
        <x:v>No</x:v>
      </x:c>
      <x:c r="J141" s="23" t="str"/>
      <x:c r="K141" s="23" t="str">
        <x:v>Required master data and user exist.</x:v>
      </x:c>
      <x:c r="L141" s="23" t="str">
        <x:v>Use dedicated non-production test data.</x:v>
      </x:c>
      <x:c r="M141" s="23" t="str">
        <x:v>1. Sign in as Inventory Manager. 2. Receive and consume stock in different linked UOMs. 3. Save or submit. 4. Refresh or reopen the record. 5. Compare the result with the pass condition.</x:v>
      </x:c>
      <x:c r="N141" s="23" t="str">
        <x:v>Base quantities convert correctly.</x:v>
      </x:c>
      <x:c r="O141" s="26" t="str">
        <x:v>Not Run</x:v>
      </x:c>
      <x:c r="P141" s="26" t="str"/>
      <x:c r="Q141" s="26" t="str"/>
      <x:c r="R141" s="26" t="str"/>
      <x:c r="S141" s="26" t="str"/>
      <x:c r="T141" s="26" t="str"/>
      <x:c r="U141" s="26" t="str">
        <x:v>QA</x:v>
      </x:c>
      <x:c r="V141" s="26" t="str"/>
      <x:c r="W141" s="29" t="str"/>
      <x:c r="X141" s="26" t="str"/>
      <x:c r="Y141" s="26" t="str">
        <x:v>Not Required</x:v>
      </x:c>
      <x:c r="Z141" s="26" t="str"/>
      <x:c r="AA141" s="28" t="n">
        <x:f>IF(OR(O141="Passed",O141="Failed",O141="Blocked"),1,0)</x:f>
        <x:v>0</x:v>
      </x:c>
      <x:c r="AB141" s="28" t="n">
        <x:f>IF(O141="Passed",1,0)</x:f>
        <x:v>0</x:v>
      </x:c>
      <x:c r="AC141" s="28" t="n">
        <x:f>IF(AND(OR(R141="Critical",R141="High"),OR(O141="Failed",O141="Blocked"),S141&lt;&gt;"Closed",S141&lt;&gt;"Rejected"),1,0)</x:f>
        <x:v>0</x:v>
      </x:c>
      <x:c r="AD141" s="28" t="n">
        <x:f>IF(X141&lt;&gt;"",1,0)</x:f>
        <x:v>0</x:v>
      </x:c>
      <x:c r="AE141" s="28" t="n">
        <x:f>IF(J141&lt;&gt;"",1,0)</x:f>
        <x:v>0</x:v>
      </x:c>
    </x:row>
    <x:row r="142">
      <x:c r="A142" s="23" t="str">
        <x:v>L2-111</x:v>
      </x:c>
      <x:c r="B142" s="23" t="str">
        <x:v>Level 2</x:v>
      </x:c>
      <x:c r="C142" s="23" t="str">
        <x:v>Inventory</x:v>
      </x:c>
      <x:c r="D142" s="23" t="str"/>
      <x:c r="E142" s="23" t="str">
        <x:v>Purchase order lifecycle</x:v>
      </x:c>
      <x:c r="F142" s="23" t="str">
        <x:v>Functional</x:v>
      </x:c>
      <x:c r="G142" s="23" t="str">
        <x:v>Inventory Manager</x:v>
      </x:c>
      <x:c r="H142" s="23" t="str">
        <x:v>Medium</x:v>
      </x:c>
      <x:c r="I142" s="23" t="str">
        <x:v>No</x:v>
      </x:c>
      <x:c r="J142" s="23" t="str"/>
      <x:c r="K142" s="23" t="str">
        <x:v>Required master data and user exist.</x:v>
      </x:c>
      <x:c r="L142" s="23" t="str">
        <x:v>Use dedicated non-production test data.</x:v>
      </x:c>
      <x:c r="M142" s="23" t="str">
        <x:v>1. Sign in as Inventory Manager. 2. Create, update and receive a purchase order. 3. Save or submit. 4. Refresh or reopen the record. 5. Compare the result with the pass condition.</x:v>
      </x:c>
      <x:c r="N142" s="23" t="str">
        <x:v>Ordered and received quantities are correct.</x:v>
      </x:c>
      <x:c r="O142" s="26" t="str">
        <x:v>Not Run</x:v>
      </x:c>
      <x:c r="P142" s="26" t="str"/>
      <x:c r="Q142" s="26" t="str"/>
      <x:c r="R142" s="26" t="str"/>
      <x:c r="S142" s="26" t="str"/>
      <x:c r="T142" s="26" t="str"/>
      <x:c r="U142" s="26" t="str">
        <x:v>QA</x:v>
      </x:c>
      <x:c r="V142" s="26" t="str"/>
      <x:c r="W142" s="29" t="str"/>
      <x:c r="X142" s="26" t="str"/>
      <x:c r="Y142" s="26" t="str">
        <x:v>Not Required</x:v>
      </x:c>
      <x:c r="Z142" s="26" t="str"/>
      <x:c r="AA142" s="28" t="n">
        <x:f>IF(OR(O142="Passed",O142="Failed",O142="Blocked"),1,0)</x:f>
        <x:v>0</x:v>
      </x:c>
      <x:c r="AB142" s="28" t="n">
        <x:f>IF(O142="Passed",1,0)</x:f>
        <x:v>0</x:v>
      </x:c>
      <x:c r="AC142" s="28" t="n">
        <x:f>IF(AND(OR(R142="Critical",R142="High"),OR(O142="Failed",O142="Blocked"),S142&lt;&gt;"Closed",S142&lt;&gt;"Rejected"),1,0)</x:f>
        <x:v>0</x:v>
      </x:c>
      <x:c r="AD142" s="28" t="n">
        <x:f>IF(X142&lt;&gt;"",1,0)</x:f>
        <x:v>0</x:v>
      </x:c>
      <x:c r="AE142" s="28" t="n">
        <x:f>IF(J142&lt;&gt;"",1,0)</x:f>
        <x:v>0</x:v>
      </x:c>
    </x:row>
    <x:row r="143">
      <x:c r="A143" s="23" t="str">
        <x:v>L2-112</x:v>
      </x:c>
      <x:c r="B143" s="23" t="str">
        <x:v>Level 2</x:v>
      </x:c>
      <x:c r="C143" s="23" t="str">
        <x:v>Inventory</x:v>
      </x:c>
      <x:c r="D143" s="23" t="str"/>
      <x:c r="E143" s="23" t="str">
        <x:v>Batch receipt</x:v>
      </x:c>
      <x:c r="F143" s="23" t="str">
        <x:v>Functional</x:v>
      </x:c>
      <x:c r="G143" s="23" t="str">
        <x:v>Inventory Manager</x:v>
      </x:c>
      <x:c r="H143" s="23" t="str">
        <x:v>Medium</x:v>
      </x:c>
      <x:c r="I143" s="23" t="str">
        <x:v>No</x:v>
      </x:c>
      <x:c r="J143" s="23" t="str"/>
      <x:c r="K143" s="23" t="str">
        <x:v>Required master data and user exist.</x:v>
      </x:c>
      <x:c r="L143" s="23" t="str">
        <x:v>Use dedicated non-production test data.</x:v>
      </x:c>
      <x:c r="M143" s="23" t="str">
        <x:v>1. Sign in as Inventory Manager. 2. Receive two batches with different expiry dates. 3. Save or submit. 4. Refresh or reopen the record. 5. Compare the result with the pass condition.</x:v>
      </x:c>
      <x:c r="N143" s="23" t="str">
        <x:v>Both batches and totals are correct.</x:v>
      </x:c>
      <x:c r="O143" s="26" t="str">
        <x:v>Not Run</x:v>
      </x:c>
      <x:c r="P143" s="26" t="str"/>
      <x:c r="Q143" s="26" t="str"/>
      <x:c r="R143" s="26" t="str"/>
      <x:c r="S143" s="26" t="str"/>
      <x:c r="T143" s="26" t="str"/>
      <x:c r="U143" s="26" t="str">
        <x:v>QA</x:v>
      </x:c>
      <x:c r="V143" s="26" t="str"/>
      <x:c r="W143" s="29" t="str"/>
      <x:c r="X143" s="26" t="str"/>
      <x:c r="Y143" s="26" t="str">
        <x:v>Not Required</x:v>
      </x:c>
      <x:c r="Z143" s="26" t="str"/>
      <x:c r="AA143" s="28" t="n">
        <x:f>IF(OR(O143="Passed",O143="Failed",O143="Blocked"),1,0)</x:f>
        <x:v>0</x:v>
      </x:c>
      <x:c r="AB143" s="28" t="n">
        <x:f>IF(O143="Passed",1,0)</x:f>
        <x:v>0</x:v>
      </x:c>
      <x:c r="AC143" s="28" t="n">
        <x:f>IF(AND(OR(R143="Critical",R143="High"),OR(O143="Failed",O143="Blocked"),S143&lt;&gt;"Closed",S143&lt;&gt;"Rejected"),1,0)</x:f>
        <x:v>0</x:v>
      </x:c>
      <x:c r="AD143" s="28" t="n">
        <x:f>IF(X143&lt;&gt;"",1,0)</x:f>
        <x:v>0</x:v>
      </x:c>
      <x:c r="AE143" s="28" t="n">
        <x:f>IF(J143&lt;&gt;"",1,0)</x:f>
        <x:v>0</x:v>
      </x:c>
    </x:row>
    <x:row r="144">
      <x:c r="A144" s="23" t="str">
        <x:v>L2-113</x:v>
      </x:c>
      <x:c r="B144" s="23" t="str">
        <x:v>Level 2</x:v>
      </x:c>
      <x:c r="C144" s="23" t="str">
        <x:v>Inventory</x:v>
      </x:c>
      <x:c r="D144" s="23" t="str"/>
      <x:c r="E144" s="23" t="str">
        <x:v>Stock movement</x:v>
      </x:c>
      <x:c r="F144" s="23" t="str">
        <x:v>Functional</x:v>
      </x:c>
      <x:c r="G144" s="23" t="str">
        <x:v>Inventory Manager</x:v>
      </x:c>
      <x:c r="H144" s="23" t="str">
        <x:v>Medium</x:v>
      </x:c>
      <x:c r="I144" s="23" t="str">
        <x:v>No</x:v>
      </x:c>
      <x:c r="J144" s="23" t="str"/>
      <x:c r="K144" s="23" t="str">
        <x:v>Required master data and user exist.</x:v>
      </x:c>
      <x:c r="L144" s="23" t="str">
        <x:v>Use dedicated non-production test data.</x:v>
      </x:c>
      <x:c r="M144" s="23" t="str">
        <x:v>1. Sign in as Inventory Manager. 2. Post receipt, issue, adjustment and transfer. 3. Save or submit. 4. Refresh or reopen the record. 5. Compare the result with the pass condition.</x:v>
      </x:c>
      <x:c r="N144" s="23" t="str">
        <x:v>On-hand and movement history reconcile.</x:v>
      </x:c>
      <x:c r="O144" s="26" t="str">
        <x:v>Not Run</x:v>
      </x:c>
      <x:c r="P144" s="26" t="str"/>
      <x:c r="Q144" s="26" t="str"/>
      <x:c r="R144" s="26" t="str"/>
      <x:c r="S144" s="26" t="str"/>
      <x:c r="T144" s="26" t="str"/>
      <x:c r="U144" s="26" t="str">
        <x:v>QA</x:v>
      </x:c>
      <x:c r="V144" s="26" t="str"/>
      <x:c r="W144" s="29" t="str"/>
      <x:c r="X144" s="26" t="str"/>
      <x:c r="Y144" s="26" t="str">
        <x:v>Not Required</x:v>
      </x:c>
      <x:c r="Z144" s="26" t="str"/>
      <x:c r="AA144" s="28" t="n">
        <x:f>IF(OR(O144="Passed",O144="Failed",O144="Blocked"),1,0)</x:f>
        <x:v>0</x:v>
      </x:c>
      <x:c r="AB144" s="28" t="n">
        <x:f>IF(O144="Passed",1,0)</x:f>
        <x:v>0</x:v>
      </x:c>
      <x:c r="AC144" s="28" t="n">
        <x:f>IF(AND(OR(R144="Critical",R144="High"),OR(O144="Failed",O144="Blocked"),S144&lt;&gt;"Closed",S144&lt;&gt;"Rejected"),1,0)</x:f>
        <x:v>0</x:v>
      </x:c>
      <x:c r="AD144" s="28" t="n">
        <x:f>IF(X144&lt;&gt;"",1,0)</x:f>
        <x:v>0</x:v>
      </x:c>
      <x:c r="AE144" s="28" t="n">
        <x:f>IF(J144&lt;&gt;"",1,0)</x:f>
        <x:v>0</x:v>
      </x:c>
    </x:row>
    <x:row r="145">
      <x:c r="A145" s="23" t="str">
        <x:v>L2-114</x:v>
      </x:c>
      <x:c r="B145" s="23" t="str">
        <x:v>Level 2</x:v>
      </x:c>
      <x:c r="C145" s="23" t="str">
        <x:v>Inventory</x:v>
      </x:c>
      <x:c r="D145" s="23" t="str"/>
      <x:c r="E145" s="23" t="str">
        <x:v>Negative stock</x:v>
      </x:c>
      <x:c r="F145" s="23" t="str">
        <x:v>Functional</x:v>
      </x:c>
      <x:c r="G145" s="23" t="str">
        <x:v>Inventory Manager</x:v>
      </x:c>
      <x:c r="H145" s="23" t="str">
        <x:v>Medium</x:v>
      </x:c>
      <x:c r="I145" s="23" t="str">
        <x:v>No</x:v>
      </x:c>
      <x:c r="J145" s="23" t="str"/>
      <x:c r="K145" s="23" t="str">
        <x:v>Required master data and user exist.</x:v>
      </x:c>
      <x:c r="L145" s="23" t="str">
        <x:v>Use dedicated non-production test data.</x:v>
      </x:c>
      <x:c r="M145" s="23" t="str">
        <x:v>1. Sign in as Inventory Manager. 2. Issue more than available. 3. Save or submit. 4. Refresh or reopen the record. 5. Compare the result with the pass condition.</x:v>
      </x:c>
      <x:c r="N145" s="23" t="str">
        <x:v>Negative stock is blocked or controlled by approved override.</x:v>
      </x:c>
      <x:c r="O145" s="26" t="str">
        <x:v>Not Run</x:v>
      </x:c>
      <x:c r="P145" s="26" t="str"/>
      <x:c r="Q145" s="26" t="str"/>
      <x:c r="R145" s="26" t="str"/>
      <x:c r="S145" s="26" t="str"/>
      <x:c r="T145" s="26" t="str"/>
      <x:c r="U145" s="26" t="str">
        <x:v>QA</x:v>
      </x:c>
      <x:c r="V145" s="26" t="str"/>
      <x:c r="W145" s="29" t="str"/>
      <x:c r="X145" s="26" t="str"/>
      <x:c r="Y145" s="26" t="str">
        <x:v>Not Required</x:v>
      </x:c>
      <x:c r="Z145" s="26" t="str"/>
      <x:c r="AA145" s="28" t="n">
        <x:f>IF(OR(O145="Passed",O145="Failed",O145="Blocked"),1,0)</x:f>
        <x:v>0</x:v>
      </x:c>
      <x:c r="AB145" s="28" t="n">
        <x:f>IF(O145="Passed",1,0)</x:f>
        <x:v>0</x:v>
      </x:c>
      <x:c r="AC145" s="28" t="n">
        <x:f>IF(AND(OR(R145="Critical",R145="High"),OR(O145="Failed",O145="Blocked"),S145&lt;&gt;"Closed",S145&lt;&gt;"Rejected"),1,0)</x:f>
        <x:v>0</x:v>
      </x:c>
      <x:c r="AD145" s="28" t="n">
        <x:f>IF(X145&lt;&gt;"",1,0)</x:f>
        <x:v>0</x:v>
      </x:c>
      <x:c r="AE145" s="28" t="n">
        <x:f>IF(J145&lt;&gt;"",1,0)</x:f>
        <x:v>0</x:v>
      </x:c>
    </x:row>
    <x:row r="146">
      <x:c r="A146" s="23" t="str">
        <x:v>L2-115</x:v>
      </x:c>
      <x:c r="B146" s="23" t="str">
        <x:v>Level 2</x:v>
      </x:c>
      <x:c r="C146" s="23" t="str">
        <x:v>Inventory</x:v>
      </x:c>
      <x:c r="D146" s="23" t="str"/>
      <x:c r="E146" s="23" t="str">
        <x:v>Low stock</x:v>
      </x:c>
      <x:c r="F146" s="23" t="str">
        <x:v>Functional</x:v>
      </x:c>
      <x:c r="G146" s="23" t="str">
        <x:v>Inventory Manager</x:v>
      </x:c>
      <x:c r="H146" s="23" t="str">
        <x:v>Medium</x:v>
      </x:c>
      <x:c r="I146" s="23" t="str">
        <x:v>No</x:v>
      </x:c>
      <x:c r="J146" s="23" t="str">
        <x:v>Complete low-stock alert workflow</x:v>
      </x:c>
      <x:c r="K146" s="23" t="str">
        <x:v>Required master data and user exist.</x:v>
      </x:c>
      <x:c r="L146" s="23" t="str">
        <x:v>Use dedicated non-production test data.</x:v>
      </x:c>
      <x:c r="M146" s="23" t="str">
        <x:v>1. Sign in as Inventory Manager. 2. Move stock below reorder level. 3. Save or submit. 4. Refresh or reopen the record. 5. Compare the result with the pass condition.</x:v>
      </x:c>
      <x:c r="N146" s="23" t="str">
        <x:v>Low-stock warning/notification appears.</x:v>
      </x:c>
      <x:c r="O146" s="26" t="str">
        <x:v>Not Run</x:v>
      </x:c>
      <x:c r="P146" s="26" t="str"/>
      <x:c r="Q146" s="26" t="str"/>
      <x:c r="R146" s="26" t="str"/>
      <x:c r="S146" s="26" t="str"/>
      <x:c r="T146" s="26" t="str"/>
      <x:c r="U146" s="26" t="str">
        <x:v>QA</x:v>
      </x:c>
      <x:c r="V146" s="26" t="str"/>
      <x:c r="W146" s="29" t="str"/>
      <x:c r="X146" s="26" t="str"/>
      <x:c r="Y146" s="26" t="str">
        <x:v>Not Required</x:v>
      </x:c>
      <x:c r="Z146" s="26" t="str"/>
      <x:c r="AA146" s="28" t="n">
        <x:f>IF(OR(O146="Passed",O146="Failed",O146="Blocked"),1,0)</x:f>
        <x:v>0</x:v>
      </x:c>
      <x:c r="AB146" s="28" t="n">
        <x:f>IF(O146="Passed",1,0)</x:f>
        <x:v>0</x:v>
      </x:c>
      <x:c r="AC146" s="28" t="n">
        <x:f>IF(AND(OR(R146="Critical",R146="High"),OR(O146="Failed",O146="Blocked"),S146&lt;&gt;"Closed",S146&lt;&gt;"Rejected"),1,0)</x:f>
        <x:v>0</x:v>
      </x:c>
      <x:c r="AD146" s="28" t="n">
        <x:f>IF(X146&lt;&gt;"",1,0)</x:f>
        <x:v>0</x:v>
      </x:c>
      <x:c r="AE146" s="28" t="n">
        <x:f>IF(J146&lt;&gt;"",1,0)</x:f>
        <x:v>1</x:v>
      </x:c>
    </x:row>
    <x:row r="147">
      <x:c r="A147" s="23" t="str">
        <x:v>L2-116</x:v>
      </x:c>
      <x:c r="B147" s="23" t="str">
        <x:v>Level 2</x:v>
      </x:c>
      <x:c r="C147" s="23" t="str">
        <x:v>Inventory</x:v>
      </x:c>
      <x:c r="D147" s="23" t="str"/>
      <x:c r="E147" s="23" t="str">
        <x:v>Expired stock</x:v>
      </x:c>
      <x:c r="F147" s="23" t="str">
        <x:v>Functional</x:v>
      </x:c>
      <x:c r="G147" s="23" t="str">
        <x:v>Inventory Manager</x:v>
      </x:c>
      <x:c r="H147" s="23" t="str">
        <x:v>Medium</x:v>
      </x:c>
      <x:c r="I147" s="23" t="str">
        <x:v>No</x:v>
      </x:c>
      <x:c r="J147" s="23" t="str"/>
      <x:c r="K147" s="23" t="str">
        <x:v>Required master data and user exist.</x:v>
      </x:c>
      <x:c r="L147" s="23" t="str">
        <x:v>Use dedicated non-production test data.</x:v>
      </x:c>
      <x:c r="M147" s="23" t="str">
        <x:v>1. Sign in as Inventory Manager. 2. Try to reserve/use an expired batch. 3. Save or submit. 4. Refresh or reopen the record. 5. Compare the result with the pass condition.</x:v>
      </x:c>
      <x:c r="N147" s="23" t="str">
        <x:v>Expired stock is blocked.</x:v>
      </x:c>
      <x:c r="O147" s="26" t="str">
        <x:v>Not Run</x:v>
      </x:c>
      <x:c r="P147" s="26" t="str"/>
      <x:c r="Q147" s="26" t="str"/>
      <x:c r="R147" s="26" t="str"/>
      <x:c r="S147" s="26" t="str"/>
      <x:c r="T147" s="26" t="str"/>
      <x:c r="U147" s="26" t="str">
        <x:v>QA</x:v>
      </x:c>
      <x:c r="V147" s="26" t="str"/>
      <x:c r="W147" s="29" t="str"/>
      <x:c r="X147" s="26" t="str"/>
      <x:c r="Y147" s="26" t="str">
        <x:v>Not Required</x:v>
      </x:c>
      <x:c r="Z147" s="26" t="str"/>
      <x:c r="AA147" s="28" t="n">
        <x:f>IF(OR(O147="Passed",O147="Failed",O147="Blocked"),1,0)</x:f>
        <x:v>0</x:v>
      </x:c>
      <x:c r="AB147" s="28" t="n">
        <x:f>IF(O147="Passed",1,0)</x:f>
        <x:v>0</x:v>
      </x:c>
      <x:c r="AC147" s="28" t="n">
        <x:f>IF(AND(OR(R147="Critical",R147="High"),OR(O147="Failed",O147="Blocked"),S147&lt;&gt;"Closed",S147&lt;&gt;"Rejected"),1,0)</x:f>
        <x:v>0</x:v>
      </x:c>
      <x:c r="AD147" s="28" t="n">
        <x:f>IF(X147&lt;&gt;"",1,0)</x:f>
        <x:v>0</x:v>
      </x:c>
      <x:c r="AE147" s="28" t="n">
        <x:f>IF(J147&lt;&gt;"",1,0)</x:f>
        <x:v>0</x:v>
      </x:c>
    </x:row>
    <x:row r="148">
      <x:c r="A148" s="23" t="str">
        <x:v>L2-117</x:v>
      </x:c>
      <x:c r="B148" s="23" t="str">
        <x:v>Level 2</x:v>
      </x:c>
      <x:c r="C148" s="23" t="str">
        <x:v>Inventory</x:v>
      </x:c>
      <x:c r="D148" s="23" t="str"/>
      <x:c r="E148" s="23" t="str">
        <x:v>Near-expiry</x:v>
      </x:c>
      <x:c r="F148" s="23" t="str">
        <x:v>Functional</x:v>
      </x:c>
      <x:c r="G148" s="23" t="str">
        <x:v>Inventory Manager</x:v>
      </x:c>
      <x:c r="H148" s="23" t="str">
        <x:v>Medium</x:v>
      </x:c>
      <x:c r="I148" s="23" t="str">
        <x:v>No</x:v>
      </x:c>
      <x:c r="J148" s="23" t="str">
        <x:v>Expiry dashboard</x:v>
      </x:c>
      <x:c r="K148" s="23" t="str">
        <x:v>Required master data and user exist.</x:v>
      </x:c>
      <x:c r="L148" s="23" t="str">
        <x:v>Use dedicated non-production test data.</x:v>
      </x:c>
      <x:c r="M148" s="23" t="str">
        <x:v>1. Sign in as Inventory Manager. 2. Create a near-expiry batch. 3. Save or submit. 4. Refresh or reopen the record. 5. Compare the result with the pass condition.</x:v>
      </x:c>
      <x:c r="N148" s="23" t="str">
        <x:v>Expiry dashboard/alert appears.</x:v>
      </x:c>
      <x:c r="O148" s="26" t="str">
        <x:v>Not Run</x:v>
      </x:c>
      <x:c r="P148" s="26" t="str"/>
      <x:c r="Q148" s="26" t="str"/>
      <x:c r="R148" s="26" t="str"/>
      <x:c r="S148" s="26" t="str"/>
      <x:c r="T148" s="26" t="str"/>
      <x:c r="U148" s="26" t="str">
        <x:v>QA</x:v>
      </x:c>
      <x:c r="V148" s="26" t="str"/>
      <x:c r="W148" s="29" t="str"/>
      <x:c r="X148" s="26" t="str"/>
      <x:c r="Y148" s="26" t="str">
        <x:v>Not Required</x:v>
      </x:c>
      <x:c r="Z148" s="26" t="str"/>
      <x:c r="AA148" s="28" t="n">
        <x:f>IF(OR(O148="Passed",O148="Failed",O148="Blocked"),1,0)</x:f>
        <x:v>0</x:v>
      </x:c>
      <x:c r="AB148" s="28" t="n">
        <x:f>IF(O148="Passed",1,0)</x:f>
        <x:v>0</x:v>
      </x:c>
      <x:c r="AC148" s="28" t="n">
        <x:f>IF(AND(OR(R148="Critical",R148="High"),OR(O148="Failed",O148="Blocked"),S148&lt;&gt;"Closed",S148&lt;&gt;"Rejected"),1,0)</x:f>
        <x:v>0</x:v>
      </x:c>
      <x:c r="AD148" s="28" t="n">
        <x:f>IF(X148&lt;&gt;"",1,0)</x:f>
        <x:v>0</x:v>
      </x:c>
      <x:c r="AE148" s="28" t="n">
        <x:f>IF(J148&lt;&gt;"",1,0)</x:f>
        <x:v>1</x:v>
      </x:c>
    </x:row>
    <x:row r="149">
      <x:c r="A149" s="23" t="str">
        <x:v>L2-118</x:v>
      </x:c>
      <x:c r="B149" s="23" t="str">
        <x:v>Level 2</x:v>
      </x:c>
      <x:c r="C149" s="23" t="str">
        <x:v>Inventory</x:v>
      </x:c>
      <x:c r="D149" s="23" t="str"/>
      <x:c r="E149" s="23" t="str">
        <x:v>Automatic consumption</x:v>
      </x:c>
      <x:c r="F149" s="23" t="str">
        <x:v>Functional</x:v>
      </x:c>
      <x:c r="G149" s="23" t="str">
        <x:v>Inventory Manager</x:v>
      </x:c>
      <x:c r="H149" s="23" t="str">
        <x:v>Critical</x:v>
      </x:c>
      <x:c r="I149" s="23" t="str">
        <x:v>Yes</x:v>
      </x:c>
      <x:c r="J149" s="23" t="str">
        <x:v>Automatic inventory consumption</x:v>
      </x:c>
      <x:c r="K149" s="23" t="str">
        <x:v>Required master data and user exist.</x:v>
      </x:c>
      <x:c r="L149" s="23" t="str">
        <x:v>Use dedicated non-production test data.</x:v>
      </x:c>
      <x:c r="M149" s="23" t="str">
        <x:v>1. Sign in as Inventory Manager. 2. Complete a test linked to inventory. 3. Save or submit. 4. Refresh or reopen the record. 5. Compare the result with the pass condition.</x:v>
      </x:c>
      <x:c r="N149" s="23" t="str">
        <x:v>Configured quantity is consumed once or the gap blocks release.</x:v>
      </x:c>
      <x:c r="O149" s="26" t="str">
        <x:v>Not Run</x:v>
      </x:c>
      <x:c r="P149" s="26" t="str"/>
      <x:c r="Q149" s="26" t="str"/>
      <x:c r="R149" s="26" t="str"/>
      <x:c r="S149" s="26" t="str"/>
      <x:c r="T149" s="26" t="str"/>
      <x:c r="U149" s="26" t="str">
        <x:v>QA</x:v>
      </x:c>
      <x:c r="V149" s="26" t="str"/>
      <x:c r="W149" s="29" t="str"/>
      <x:c r="X149" s="26" t="str"/>
      <x:c r="Y149" s="26" t="str">
        <x:v>Not Required</x:v>
      </x:c>
      <x:c r="Z149" s="26" t="str"/>
      <x:c r="AA149" s="28" t="n">
        <x:f>IF(OR(O149="Passed",O149="Failed",O149="Blocked"),1,0)</x:f>
        <x:v>0</x:v>
      </x:c>
      <x:c r="AB149" s="28" t="n">
        <x:f>IF(O149="Passed",1,0)</x:f>
        <x:v>0</x:v>
      </x:c>
      <x:c r="AC149" s="28" t="n">
        <x:f>IF(AND(OR(R149="Critical",R149="High"),OR(O149="Failed",O149="Blocked"),S149&lt;&gt;"Closed",S149&lt;&gt;"Rejected"),1,0)</x:f>
        <x:v>0</x:v>
      </x:c>
      <x:c r="AD149" s="28" t="n">
        <x:f>IF(X149&lt;&gt;"",1,0)</x:f>
        <x:v>0</x:v>
      </x:c>
      <x:c r="AE149" s="28" t="n">
        <x:f>IF(J149&lt;&gt;"",1,0)</x:f>
        <x:v>1</x:v>
      </x:c>
    </x:row>
    <x:row r="150">
      <x:c r="A150" s="23" t="str">
        <x:v>L2-119</x:v>
      </x:c>
      <x:c r="B150" s="23" t="str">
        <x:v>Level 2</x:v>
      </x:c>
      <x:c r="C150" s="23" t="str">
        <x:v>Inventory</x:v>
      </x:c>
      <x:c r="D150" s="23" t="str"/>
      <x:c r="E150" s="23" t="str">
        <x:v>Insufficient stock</x:v>
      </x:c>
      <x:c r="F150" s="23" t="str">
        <x:v>Functional</x:v>
      </x:c>
      <x:c r="G150" s="23" t="str">
        <x:v>Inventory Manager</x:v>
      </x:c>
      <x:c r="H150" s="23" t="str">
        <x:v>Medium</x:v>
      </x:c>
      <x:c r="I150" s="23" t="str">
        <x:v>No</x:v>
      </x:c>
      <x:c r="J150" s="23" t="str"/>
      <x:c r="K150" s="23" t="str">
        <x:v>Required master data and user exist.</x:v>
      </x:c>
      <x:c r="L150" s="23" t="str">
        <x:v>Use dedicated non-production test data.</x:v>
      </x:c>
      <x:c r="M150" s="23" t="str">
        <x:v>1. Sign in as Inventory Manager. 2. Start a test with insufficient required stock. 3. Save or submit. 4. Refresh or reopen the record. 5. Compare the result with the pass condition.</x:v>
      </x:c>
      <x:c r="N150" s="23" t="str">
        <x:v>Warning/block follows the approved policy.</x:v>
      </x:c>
      <x:c r="O150" s="26" t="str">
        <x:v>Not Run</x:v>
      </x:c>
      <x:c r="P150" s="26" t="str"/>
      <x:c r="Q150" s="26" t="str"/>
      <x:c r="R150" s="26" t="str"/>
      <x:c r="S150" s="26" t="str"/>
      <x:c r="T150" s="26" t="str"/>
      <x:c r="U150" s="26" t="str">
        <x:v>QA</x:v>
      </x:c>
      <x:c r="V150" s="26" t="str"/>
      <x:c r="W150" s="29" t="str"/>
      <x:c r="X150" s="26" t="str"/>
      <x:c r="Y150" s="26" t="str">
        <x:v>Not Required</x:v>
      </x:c>
      <x:c r="Z150" s="26" t="str"/>
      <x:c r="AA150" s="28" t="n">
        <x:f>IF(OR(O150="Passed",O150="Failed",O150="Blocked"),1,0)</x:f>
        <x:v>0</x:v>
      </x:c>
      <x:c r="AB150" s="28" t="n">
        <x:f>IF(O150="Passed",1,0)</x:f>
        <x:v>0</x:v>
      </x:c>
      <x:c r="AC150" s="28" t="n">
        <x:f>IF(AND(OR(R150="Critical",R150="High"),OR(O150="Failed",O150="Blocked"),S150&lt;&gt;"Closed",S150&lt;&gt;"Rejected"),1,0)</x:f>
        <x:v>0</x:v>
      </x:c>
      <x:c r="AD150" s="28" t="n">
        <x:f>IF(X150&lt;&gt;"",1,0)</x:f>
        <x:v>0</x:v>
      </x:c>
      <x:c r="AE150" s="28" t="n">
        <x:f>IF(J150&lt;&gt;"",1,0)</x:f>
        <x:v>0</x:v>
      </x:c>
    </x:row>
    <x:row r="151">
      <x:c r="A151" s="23" t="str">
        <x:v>L2-120</x:v>
      </x:c>
      <x:c r="B151" s="23" t="str">
        <x:v>Level 2</x:v>
      </x:c>
      <x:c r="C151" s="23" t="str">
        <x:v>Inventory</x:v>
      </x:c>
      <x:c r="D151" s="23" t="str"/>
      <x:c r="E151" s="23" t="str">
        <x:v>Reservation release</x:v>
      </x:c>
      <x:c r="F151" s="23" t="str">
        <x:v>Functional</x:v>
      </x:c>
      <x:c r="G151" s="23" t="str">
        <x:v>Inventory Manager</x:v>
      </x:c>
      <x:c r="H151" s="23" t="str">
        <x:v>Medium</x:v>
      </x:c>
      <x:c r="I151" s="23" t="str">
        <x:v>No</x:v>
      </x:c>
      <x:c r="J151" s="23" t="str"/>
      <x:c r="K151" s="23" t="str">
        <x:v>Required master data and user exist.</x:v>
      </x:c>
      <x:c r="L151" s="23" t="str">
        <x:v>Use dedicated non-production test data.</x:v>
      </x:c>
      <x:c r="M151" s="23" t="str">
        <x:v>1. Sign in as Inventory Manager. 2. Reject/cancel a sample after reservation. 3. Save or submit. 4. Refresh or reopen the record. 5. Compare the result with the pass condition.</x:v>
      </x:c>
      <x:c r="N151" s="23" t="str">
        <x:v>Reserved stock is released correctly.</x:v>
      </x:c>
      <x:c r="O151" s="26" t="str">
        <x:v>Not Run</x:v>
      </x:c>
      <x:c r="P151" s="26" t="str"/>
      <x:c r="Q151" s="26" t="str"/>
      <x:c r="R151" s="26" t="str"/>
      <x:c r="S151" s="26" t="str"/>
      <x:c r="T151" s="26" t="str"/>
      <x:c r="U151" s="26" t="str">
        <x:v>QA</x:v>
      </x:c>
      <x:c r="V151" s="26" t="str"/>
      <x:c r="W151" s="29" t="str"/>
      <x:c r="X151" s="26" t="str"/>
      <x:c r="Y151" s="26" t="str">
        <x:v>Not Required</x:v>
      </x:c>
      <x:c r="Z151" s="26" t="str"/>
      <x:c r="AA151" s="28" t="n">
        <x:f>IF(OR(O151="Passed",O151="Failed",O151="Blocked"),1,0)</x:f>
        <x:v>0</x:v>
      </x:c>
      <x:c r="AB151" s="28" t="n">
        <x:f>IF(O151="Passed",1,0)</x:f>
        <x:v>0</x:v>
      </x:c>
      <x:c r="AC151" s="28" t="n">
        <x:f>IF(AND(OR(R151="Critical",R151="High"),OR(O151="Failed",O151="Blocked"),S151&lt;&gt;"Closed",S151&lt;&gt;"Rejected"),1,0)</x:f>
        <x:v>0</x:v>
      </x:c>
      <x:c r="AD151" s="28" t="n">
        <x:f>IF(X151&lt;&gt;"",1,0)</x:f>
        <x:v>0</x:v>
      </x:c>
      <x:c r="AE151" s="28" t="n">
        <x:f>IF(J151&lt;&gt;"",1,0)</x:f>
        <x:v>0</x:v>
      </x:c>
    </x:row>
    <x:row r="152">
      <x:c r="A152" s="23" t="str">
        <x:v>L2-121</x:v>
      </x:c>
      <x:c r="B152" s="23" t="str">
        <x:v>Level 2</x:v>
      </x:c>
      <x:c r="C152" s="23" t="str">
        <x:v>Inventory</x:v>
      </x:c>
      <x:c r="D152" s="23" t="str"/>
      <x:c r="E152" s="23" t="str">
        <x:v>Wastage</x:v>
      </x:c>
      <x:c r="F152" s="23" t="str">
        <x:v>Functional</x:v>
      </x:c>
      <x:c r="G152" s="23" t="str">
        <x:v>Inventory Manager</x:v>
      </x:c>
      <x:c r="H152" s="23" t="str">
        <x:v>Medium</x:v>
      </x:c>
      <x:c r="I152" s="23" t="str">
        <x:v>No</x:v>
      </x:c>
      <x:c r="J152" s="23" t="str">
        <x:v>Wastage tracking</x:v>
      </x:c>
      <x:c r="K152" s="23" t="str">
        <x:v>Required master data and user exist.</x:v>
      </x:c>
      <x:c r="L152" s="23" t="str">
        <x:v>Use dedicated non-production test data.</x:v>
      </x:c>
      <x:c r="M152" s="23" t="str">
        <x:v>1. Sign in as Inventory Manager. 2. Record damaged/expired wastage. 3. Save or submit. 4. Refresh or reopen the record. 5. Compare the result with the pass condition.</x:v>
      </x:c>
      <x:c r="N152" s="23" t="str">
        <x:v>Wastage changes stock and remains traceable.</x:v>
      </x:c>
      <x:c r="O152" s="26" t="str">
        <x:v>Not Run</x:v>
      </x:c>
      <x:c r="P152" s="26" t="str"/>
      <x:c r="Q152" s="26" t="str"/>
      <x:c r="R152" s="26" t="str"/>
      <x:c r="S152" s="26" t="str"/>
      <x:c r="T152" s="26" t="str"/>
      <x:c r="U152" s="26" t="str">
        <x:v>QA</x:v>
      </x:c>
      <x:c r="V152" s="26" t="str"/>
      <x:c r="W152" s="29" t="str"/>
      <x:c r="X152" s="26" t="str"/>
      <x:c r="Y152" s="26" t="str">
        <x:v>Not Required</x:v>
      </x:c>
      <x:c r="Z152" s="26" t="str"/>
      <x:c r="AA152" s="28" t="n">
        <x:f>IF(OR(O152="Passed",O152="Failed",O152="Blocked"),1,0)</x:f>
        <x:v>0</x:v>
      </x:c>
      <x:c r="AB152" s="28" t="n">
        <x:f>IF(O152="Passed",1,0)</x:f>
        <x:v>0</x:v>
      </x:c>
      <x:c r="AC152" s="28" t="n">
        <x:f>IF(AND(OR(R152="Critical",R152="High"),OR(O152="Failed",O152="Blocked"),S152&lt;&gt;"Closed",S152&lt;&gt;"Rejected"),1,0)</x:f>
        <x:v>0</x:v>
      </x:c>
      <x:c r="AD152" s="28" t="n">
        <x:f>IF(X152&lt;&gt;"",1,0)</x:f>
        <x:v>0</x:v>
      </x:c>
      <x:c r="AE152" s="28" t="n">
        <x:f>IF(J152&lt;&gt;"",1,0)</x:f>
        <x:v>1</x:v>
      </x:c>
    </x:row>
    <x:row r="153">
      <x:c r="A153" s="23" t="str">
        <x:v>L2-122</x:v>
      </x:c>
      <x:c r="B153" s="23" t="str">
        <x:v>Level 2</x:v>
      </x:c>
      <x:c r="C153" s="23" t="str">
        <x:v>Inventory</x:v>
      </x:c>
      <x:c r="D153" s="23" t="str"/>
      <x:c r="E153" s="23" t="str">
        <x:v>Purchase approval</x:v>
      </x:c>
      <x:c r="F153" s="23" t="str">
        <x:v>Functional</x:v>
      </x:c>
      <x:c r="G153" s="23" t="str">
        <x:v>Inventory Manager</x:v>
      </x:c>
      <x:c r="H153" s="23" t="str">
        <x:v>Medium</x:v>
      </x:c>
      <x:c r="I153" s="23" t="str">
        <x:v>No</x:v>
      </x:c>
      <x:c r="J153" s="23" t="str">
        <x:v>Purchase approval workflow</x:v>
      </x:c>
      <x:c r="K153" s="23" t="str">
        <x:v>Required master data and user exist.</x:v>
      </x:c>
      <x:c r="L153" s="23" t="str">
        <x:v>Use dedicated non-production test data.</x:v>
      </x:c>
      <x:c r="M153" s="23" t="str">
        <x:v>1. Sign in as Inventory Manager. 2. Approve/reject a purchase order. 3. Save or submit. 4. Refresh or reopen the record. 5. Compare the result with the pass condition.</x:v>
      </x:c>
      <x:c r="N153" s="23" t="str">
        <x:v>Only authorized users can approve.</x:v>
      </x:c>
      <x:c r="O153" s="26" t="str">
        <x:v>Not Run</x:v>
      </x:c>
      <x:c r="P153" s="26" t="str"/>
      <x:c r="Q153" s="26" t="str"/>
      <x:c r="R153" s="26" t="str"/>
      <x:c r="S153" s="26" t="str"/>
      <x:c r="T153" s="26" t="str"/>
      <x:c r="U153" s="26" t="str">
        <x:v>QA</x:v>
      </x:c>
      <x:c r="V153" s="26" t="str"/>
      <x:c r="W153" s="29" t="str"/>
      <x:c r="X153" s="26" t="str"/>
      <x:c r="Y153" s="26" t="str">
        <x:v>Not Required</x:v>
      </x:c>
      <x:c r="Z153" s="26" t="str"/>
      <x:c r="AA153" s="28" t="n">
        <x:f>IF(OR(O153="Passed",O153="Failed",O153="Blocked"),1,0)</x:f>
        <x:v>0</x:v>
      </x:c>
      <x:c r="AB153" s="28" t="n">
        <x:f>IF(O153="Passed",1,0)</x:f>
        <x:v>0</x:v>
      </x:c>
      <x:c r="AC153" s="28" t="n">
        <x:f>IF(AND(OR(R153="Critical",R153="High"),OR(O153="Failed",O153="Blocked"),S153&lt;&gt;"Closed",S153&lt;&gt;"Rejected"),1,0)</x:f>
        <x:v>0</x:v>
      </x:c>
      <x:c r="AD153" s="28" t="n">
        <x:f>IF(X153&lt;&gt;"",1,0)</x:f>
        <x:v>0</x:v>
      </x:c>
      <x:c r="AE153" s="28" t="n">
        <x:f>IF(J153&lt;&gt;"",1,0)</x:f>
        <x:v>1</x:v>
      </x:c>
    </x:row>
    <x:row r="154">
      <x:c r="A154" s="23" t="str">
        <x:v>L2-123</x:v>
      </x:c>
      <x:c r="B154" s="23" t="str">
        <x:v>Level 2</x:v>
      </x:c>
      <x:c r="C154" s="23" t="str">
        <x:v>Inventory</x:v>
      </x:c>
      <x:c r="D154" s="23" t="str"/>
      <x:c r="E154" s="23" t="str">
        <x:v>Import/export</x:v>
      </x:c>
      <x:c r="F154" s="23" t="str">
        <x:v>Functional</x:v>
      </x:c>
      <x:c r="G154" s="23" t="str">
        <x:v>Inventory Manager</x:v>
      </x:c>
      <x:c r="H154" s="23" t="str">
        <x:v>Medium</x:v>
      </x:c>
      <x:c r="I154" s="23" t="str">
        <x:v>No</x:v>
      </x:c>
      <x:c r="J154" s="23" t="str"/>
      <x:c r="K154" s="23" t="str">
        <x:v>Required master data and user exist.</x:v>
      </x:c>
      <x:c r="L154" s="23" t="str">
        <x:v>Use dedicated non-production test data.</x:v>
      </x:c>
      <x:c r="M154" s="23" t="str">
        <x:v>1. Sign in as Inventory Manager. 2. Import valid/invalid inventory and export the result. 3. Save or submit. 4. Refresh or reopen the record. 5. Compare the result with the pass condition.</x:v>
      </x:c>
      <x:c r="N154" s="23" t="str">
        <x:v>Valid rows load, errors are clear and export reconciles.</x:v>
      </x:c>
      <x:c r="O154" s="26" t="str">
        <x:v>Not Run</x:v>
      </x:c>
      <x:c r="P154" s="26" t="str"/>
      <x:c r="Q154" s="26" t="str"/>
      <x:c r="R154" s="26" t="str"/>
      <x:c r="S154" s="26" t="str"/>
      <x:c r="T154" s="26" t="str"/>
      <x:c r="U154" s="26" t="str">
        <x:v>QA</x:v>
      </x:c>
      <x:c r="V154" s="26" t="str"/>
      <x:c r="W154" s="29" t="str"/>
      <x:c r="X154" s="26" t="str"/>
      <x:c r="Y154" s="26" t="str">
        <x:v>Not Required</x:v>
      </x:c>
      <x:c r="Z154" s="26" t="str"/>
      <x:c r="AA154" s="28" t="n">
        <x:f>IF(OR(O154="Passed",O154="Failed",O154="Blocked"),1,0)</x:f>
        <x:v>0</x:v>
      </x:c>
      <x:c r="AB154" s="28" t="n">
        <x:f>IF(O154="Passed",1,0)</x:f>
        <x:v>0</x:v>
      </x:c>
      <x:c r="AC154" s="28" t="n">
        <x:f>IF(AND(OR(R154="Critical",R154="High"),OR(O154="Failed",O154="Blocked"),S154&lt;&gt;"Closed",S154&lt;&gt;"Rejected"),1,0)</x:f>
        <x:v>0</x:v>
      </x:c>
      <x:c r="AD154" s="28" t="n">
        <x:f>IF(X154&lt;&gt;"",1,0)</x:f>
        <x:v>0</x:v>
      </x:c>
      <x:c r="AE154" s="28" t="n">
        <x:f>IF(J154&lt;&gt;"",1,0)</x:f>
        <x:v>0</x:v>
      </x:c>
    </x:row>
    <x:row r="155">
      <x:c r="A155" s="23" t="str">
        <x:v>L2-124</x:v>
      </x:c>
      <x:c r="B155" s="23" t="str">
        <x:v>Level 2</x:v>
      </x:c>
      <x:c r="C155" s="23" t="str">
        <x:v>Inventory</x:v>
      </x:c>
      <x:c r="D155" s="23" t="str"/>
      <x:c r="E155" s="23" t="str">
        <x:v>Inventory audit</x:v>
      </x:c>
      <x:c r="F155" s="23" t="str">
        <x:v>Functional</x:v>
      </x:c>
      <x:c r="G155" s="23" t="str">
        <x:v>Inventory Manager</x:v>
      </x:c>
      <x:c r="H155" s="23" t="str">
        <x:v>Medium</x:v>
      </x:c>
      <x:c r="I155" s="23" t="str">
        <x:v>No</x:v>
      </x:c>
      <x:c r="J155" s="23" t="str">
        <x:v>Inventory audit coverage</x:v>
      </x:c>
      <x:c r="K155" s="23" t="str">
        <x:v>Required master data and user exist.</x:v>
      </x:c>
      <x:c r="L155" s="23" t="str">
        <x:v>Use dedicated non-production test data.</x:v>
      </x:c>
      <x:c r="M155" s="23" t="str">
        <x:v>1. Sign in as Inventory Manager. 2. Edit item and post movement. 3. Save or submit. 4. Refresh or reopen the record. 5. Compare the result with the pass condition.</x:v>
      </x:c>
      <x:c r="N155" s="23" t="str">
        <x:v>Old/new values and movement actor are auditable.</x:v>
      </x:c>
      <x:c r="O155" s="26" t="str">
        <x:v>Not Run</x:v>
      </x:c>
      <x:c r="P155" s="26" t="str"/>
      <x:c r="Q155" s="26" t="str"/>
      <x:c r="R155" s="26" t="str"/>
      <x:c r="S155" s="26" t="str"/>
      <x:c r="T155" s="26" t="str"/>
      <x:c r="U155" s="26" t="str">
        <x:v>QA</x:v>
      </x:c>
      <x:c r="V155" s="26" t="str"/>
      <x:c r="W155" s="29" t="str"/>
      <x:c r="X155" s="26" t="str"/>
      <x:c r="Y155" s="26" t="str">
        <x:v>Not Required</x:v>
      </x:c>
      <x:c r="Z155" s="26" t="str"/>
      <x:c r="AA155" s="28" t="n">
        <x:f>IF(OR(O155="Passed",O155="Failed",O155="Blocked"),1,0)</x:f>
        <x:v>0</x:v>
      </x:c>
      <x:c r="AB155" s="28" t="n">
        <x:f>IF(O155="Passed",1,0)</x:f>
        <x:v>0</x:v>
      </x:c>
      <x:c r="AC155" s="28" t="n">
        <x:f>IF(AND(OR(R155="Critical",R155="High"),OR(O155="Failed",O155="Blocked"),S155&lt;&gt;"Closed",S155&lt;&gt;"Rejected"),1,0)</x:f>
        <x:v>0</x:v>
      </x:c>
      <x:c r="AD155" s="28" t="n">
        <x:f>IF(X155&lt;&gt;"",1,0)</x:f>
        <x:v>0</x:v>
      </x:c>
      <x:c r="AE155" s="28" t="n">
        <x:f>IF(J155&lt;&gt;"",1,0)</x:f>
        <x:v>1</x:v>
      </x:c>
    </x:row>
    <x:row r="156">
      <x:c r="A156" s="23" t="str">
        <x:v>L2-125</x:v>
      </x:c>
      <x:c r="B156" s="23" t="str">
        <x:v>Level 2</x:v>
      </x:c>
      <x:c r="C156" s="23" t="str">
        <x:v>Accounts, Corporate &amp; Expenses</x:v>
      </x:c>
      <x:c r="D156" s="23" t="str"/>
      <x:c r="E156" s="23" t="str">
        <x:v>Invoice journal</x:v>
      </x:c>
      <x:c r="F156" s="23" t="str">
        <x:v>Functional</x:v>
      </x:c>
      <x:c r="G156" s="23" t="str">
        <x:v>Accounts Manager</x:v>
      </x:c>
      <x:c r="H156" s="23" t="str">
        <x:v>Medium</x:v>
      </x:c>
      <x:c r="I156" s="23" t="str">
        <x:v>No</x:v>
      </x:c>
      <x:c r="J156" s="23" t="str"/>
      <x:c r="K156" s="23" t="str">
        <x:v>Required master data and user exist.</x:v>
      </x:c>
      <x:c r="L156" s="23" t="str">
        <x:v>Use dedicated non-production test data.</x:v>
      </x:c>
      <x:c r="M156" s="23" t="str">
        <x:v>1. Sign in as Accounts Manager. 2. Create a bill. 3. Save or submit. 4. Refresh or reopen the record. 5. Compare the result with the pass condition.</x:v>
      </x:c>
      <x:c r="N156" s="23" t="str">
        <x:v>Receivable/revenue journal is balanced and linked.</x:v>
      </x:c>
      <x:c r="O156" s="26" t="str">
        <x:v>Not Run</x:v>
      </x:c>
      <x:c r="P156" s="26" t="str"/>
      <x:c r="Q156" s="26" t="str"/>
      <x:c r="R156" s="26" t="str"/>
      <x:c r="S156" s="26" t="str"/>
      <x:c r="T156" s="26" t="str"/>
      <x:c r="U156" s="26" t="str">
        <x:v>QA</x:v>
      </x:c>
      <x:c r="V156" s="26" t="str"/>
      <x:c r="W156" s="29" t="str"/>
      <x:c r="X156" s="26" t="str"/>
      <x:c r="Y156" s="26" t="str">
        <x:v>Not Required</x:v>
      </x:c>
      <x:c r="Z156" s="26" t="str"/>
      <x:c r="AA156" s="28" t="n">
        <x:f>IF(OR(O156="Passed",O156="Failed",O156="Blocked"),1,0)</x:f>
        <x:v>0</x:v>
      </x:c>
      <x:c r="AB156" s="28" t="n">
        <x:f>IF(O156="Passed",1,0)</x:f>
        <x:v>0</x:v>
      </x:c>
      <x:c r="AC156" s="28" t="n">
        <x:f>IF(AND(OR(R156="Critical",R156="High"),OR(O156="Failed",O156="Blocked"),S156&lt;&gt;"Closed",S156&lt;&gt;"Rejected"),1,0)</x:f>
        <x:v>0</x:v>
      </x:c>
      <x:c r="AD156" s="28" t="n">
        <x:f>IF(X156&lt;&gt;"",1,0)</x:f>
        <x:v>0</x:v>
      </x:c>
      <x:c r="AE156" s="28" t="n">
        <x:f>IF(J156&lt;&gt;"",1,0)</x:f>
        <x:v>0</x:v>
      </x:c>
    </x:row>
    <x:row r="157">
      <x:c r="A157" s="23" t="str">
        <x:v>L2-126</x:v>
      </x:c>
      <x:c r="B157" s="23" t="str">
        <x:v>Level 2</x:v>
      </x:c>
      <x:c r="C157" s="23" t="str">
        <x:v>Accounts, Corporate &amp; Expenses</x:v>
      </x:c>
      <x:c r="D157" s="23" t="str"/>
      <x:c r="E157" s="23" t="str">
        <x:v>Payment journal</x:v>
      </x:c>
      <x:c r="F157" s="23" t="str">
        <x:v>Functional</x:v>
      </x:c>
      <x:c r="G157" s="23" t="str">
        <x:v>Accounts Manager</x:v>
      </x:c>
      <x:c r="H157" s="23" t="str">
        <x:v>Medium</x:v>
      </x:c>
      <x:c r="I157" s="23" t="str">
        <x:v>No</x:v>
      </x:c>
      <x:c r="J157" s="23" t="str"/>
      <x:c r="K157" s="23" t="str">
        <x:v>Required master data and user exist.</x:v>
      </x:c>
      <x:c r="L157" s="23" t="str">
        <x:v>Use dedicated non-production test data.</x:v>
      </x:c>
      <x:c r="M157" s="23" t="str">
        <x:v>1. Sign in as Accounts Manager. 2. Collect a payment. 3. Save or submit. 4. Refresh or reopen the record. 5. Compare the result with the pass condition.</x:v>
      </x:c>
      <x:c r="N157" s="23" t="str">
        <x:v>Cash/bank and receivable entries are balanced.</x:v>
      </x:c>
      <x:c r="O157" s="26" t="str">
        <x:v>Not Run</x:v>
      </x:c>
      <x:c r="P157" s="26" t="str"/>
      <x:c r="Q157" s="26" t="str"/>
      <x:c r="R157" s="26" t="str"/>
      <x:c r="S157" s="26" t="str"/>
      <x:c r="T157" s="26" t="str"/>
      <x:c r="U157" s="26" t="str">
        <x:v>QA</x:v>
      </x:c>
      <x:c r="V157" s="26" t="str"/>
      <x:c r="W157" s="29" t="str"/>
      <x:c r="X157" s="26" t="str"/>
      <x:c r="Y157" s="26" t="str">
        <x:v>Not Required</x:v>
      </x:c>
      <x:c r="Z157" s="26" t="str"/>
      <x:c r="AA157" s="28" t="n">
        <x:f>IF(OR(O157="Passed",O157="Failed",O157="Blocked"),1,0)</x:f>
        <x:v>0</x:v>
      </x:c>
      <x:c r="AB157" s="28" t="n">
        <x:f>IF(O157="Passed",1,0)</x:f>
        <x:v>0</x:v>
      </x:c>
      <x:c r="AC157" s="28" t="n">
        <x:f>IF(AND(OR(R157="Critical",R157="High"),OR(O157="Failed",O157="Blocked"),S157&lt;&gt;"Closed",S157&lt;&gt;"Rejected"),1,0)</x:f>
        <x:v>0</x:v>
      </x:c>
      <x:c r="AD157" s="28" t="n">
        <x:f>IF(X157&lt;&gt;"",1,0)</x:f>
        <x:v>0</x:v>
      </x:c>
      <x:c r="AE157" s="28" t="n">
        <x:f>IF(J157&lt;&gt;"",1,0)</x:f>
        <x:v>0</x:v>
      </x:c>
    </x:row>
    <x:row r="158">
      <x:c r="A158" s="23" t="str">
        <x:v>L2-127</x:v>
      </x:c>
      <x:c r="B158" s="23" t="str">
        <x:v>Level 2</x:v>
      </x:c>
      <x:c r="C158" s="23" t="str">
        <x:v>Accounts, Corporate &amp; Expenses</x:v>
      </x:c>
      <x:c r="D158" s="23" t="str"/>
      <x:c r="E158" s="23" t="str">
        <x:v>Refund journal</x:v>
      </x:c>
      <x:c r="F158" s="23" t="str">
        <x:v>Functional</x:v>
      </x:c>
      <x:c r="G158" s="23" t="str">
        <x:v>Accounts Manager</x:v>
      </x:c>
      <x:c r="H158" s="23" t="str">
        <x:v>Medium</x:v>
      </x:c>
      <x:c r="I158" s="23" t="str">
        <x:v>No</x:v>
      </x:c>
      <x:c r="J158" s="23" t="str"/>
      <x:c r="K158" s="23" t="str">
        <x:v>Required master data and user exist.</x:v>
      </x:c>
      <x:c r="L158" s="23" t="str">
        <x:v>Use dedicated non-production test data.</x:v>
      </x:c>
      <x:c r="M158" s="23" t="str">
        <x:v>1. Sign in as Accounts Manager. 2. Refund a payment. 3. Save or submit. 4. Refresh or reopen the record. 5. Compare the result with the pass condition.</x:v>
      </x:c>
      <x:c r="N158" s="23" t="str">
        <x:v>Reversal is balanced and linked.</x:v>
      </x:c>
      <x:c r="O158" s="26" t="str">
        <x:v>Not Run</x:v>
      </x:c>
      <x:c r="P158" s="26" t="str"/>
      <x:c r="Q158" s="26" t="str"/>
      <x:c r="R158" s="26" t="str"/>
      <x:c r="S158" s="26" t="str"/>
      <x:c r="T158" s="26" t="str"/>
      <x:c r="U158" s="26" t="str">
        <x:v>QA</x:v>
      </x:c>
      <x:c r="V158" s="26" t="str"/>
      <x:c r="W158" s="29" t="str"/>
      <x:c r="X158" s="26" t="str"/>
      <x:c r="Y158" s="26" t="str">
        <x:v>Not Required</x:v>
      </x:c>
      <x:c r="Z158" s="26" t="str"/>
      <x:c r="AA158" s="28" t="n">
        <x:f>IF(OR(O158="Passed",O158="Failed",O158="Blocked"),1,0)</x:f>
        <x:v>0</x:v>
      </x:c>
      <x:c r="AB158" s="28" t="n">
        <x:f>IF(O158="Passed",1,0)</x:f>
        <x:v>0</x:v>
      </x:c>
      <x:c r="AC158" s="28" t="n">
        <x:f>IF(AND(OR(R158="Critical",R158="High"),OR(O158="Failed",O158="Blocked"),S158&lt;&gt;"Closed",S158&lt;&gt;"Rejected"),1,0)</x:f>
        <x:v>0</x:v>
      </x:c>
      <x:c r="AD158" s="28" t="n">
        <x:f>IF(X158&lt;&gt;"",1,0)</x:f>
        <x:v>0</x:v>
      </x:c>
      <x:c r="AE158" s="28" t="n">
        <x:f>IF(J158&lt;&gt;"",1,0)</x:f>
        <x:v>0</x:v>
      </x:c>
    </x:row>
    <x:row r="159">
      <x:c r="A159" s="23" t="str">
        <x:v>L2-128</x:v>
      </x:c>
      <x:c r="B159" s="23" t="str">
        <x:v>Level 2</x:v>
      </x:c>
      <x:c r="C159" s="23" t="str">
        <x:v>Accounts, Corporate &amp; Expenses</x:v>
      </x:c>
      <x:c r="D159" s="23" t="str"/>
      <x:c r="E159" s="23" t="str">
        <x:v>Journal balance</x:v>
      </x:c>
      <x:c r="F159" s="23" t="str">
        <x:v>Functional</x:v>
      </x:c>
      <x:c r="G159" s="23" t="str">
        <x:v>Accounts Manager</x:v>
      </x:c>
      <x:c r="H159" s="23" t="str">
        <x:v>Medium</x:v>
      </x:c>
      <x:c r="I159" s="23" t="str">
        <x:v>No</x:v>
      </x:c>
      <x:c r="J159" s="23" t="str"/>
      <x:c r="K159" s="23" t="str">
        <x:v>Required master data and user exist.</x:v>
      </x:c>
      <x:c r="L159" s="23" t="str">
        <x:v>Use dedicated non-production test data.</x:v>
      </x:c>
      <x:c r="M159" s="23" t="str">
        <x:v>1. Sign in as Accounts Manager. 2. Review generated journals. 3. Save or submit. 4. Refresh or reopen the record. 5. Compare the result with the pass condition.</x:v>
      </x:c>
      <x:c r="N159" s="23" t="str">
        <x:v>Total debit equals total credit.</x:v>
      </x:c>
      <x:c r="O159" s="26" t="str">
        <x:v>Not Run</x:v>
      </x:c>
      <x:c r="P159" s="26" t="str"/>
      <x:c r="Q159" s="26" t="str"/>
      <x:c r="R159" s="26" t="str"/>
      <x:c r="S159" s="26" t="str"/>
      <x:c r="T159" s="26" t="str"/>
      <x:c r="U159" s="26" t="str">
        <x:v>QA</x:v>
      </x:c>
      <x:c r="V159" s="26" t="str"/>
      <x:c r="W159" s="29" t="str"/>
      <x:c r="X159" s="26" t="str"/>
      <x:c r="Y159" s="26" t="str">
        <x:v>Not Required</x:v>
      </x:c>
      <x:c r="Z159" s="26" t="str"/>
      <x:c r="AA159" s="28" t="n">
        <x:f>IF(OR(O159="Passed",O159="Failed",O159="Blocked"),1,0)</x:f>
        <x:v>0</x:v>
      </x:c>
      <x:c r="AB159" s="28" t="n">
        <x:f>IF(O159="Passed",1,0)</x:f>
        <x:v>0</x:v>
      </x:c>
      <x:c r="AC159" s="28" t="n">
        <x:f>IF(AND(OR(R159="Critical",R159="High"),OR(O159="Failed",O159="Blocked"),S159&lt;&gt;"Closed",S159&lt;&gt;"Rejected"),1,0)</x:f>
        <x:v>0</x:v>
      </x:c>
      <x:c r="AD159" s="28" t="n">
        <x:f>IF(X159&lt;&gt;"",1,0)</x:f>
        <x:v>0</x:v>
      </x:c>
      <x:c r="AE159" s="28" t="n">
        <x:f>IF(J159&lt;&gt;"",1,0)</x:f>
        <x:v>0</x:v>
      </x:c>
    </x:row>
    <x:row r="160">
      <x:c r="A160" s="23" t="str">
        <x:v>L2-129</x:v>
      </x:c>
      <x:c r="B160" s="23" t="str">
        <x:v>Level 2</x:v>
      </x:c>
      <x:c r="C160" s="23" t="str">
        <x:v>Accounts, Corporate &amp; Expenses</x:v>
      </x:c>
      <x:c r="D160" s="23" t="str"/>
      <x:c r="E160" s="23" t="str">
        <x:v>Manual journal permission</x:v>
      </x:c>
      <x:c r="F160" s="23" t="str">
        <x:v>Functional</x:v>
      </x:c>
      <x:c r="G160" s="23" t="str">
        <x:v>Accounts Manager</x:v>
      </x:c>
      <x:c r="H160" s="23" t="str">
        <x:v>Medium</x:v>
      </x:c>
      <x:c r="I160" s="23" t="str">
        <x:v>No</x:v>
      </x:c>
      <x:c r="J160" s="23" t="str"/>
      <x:c r="K160" s="23" t="str">
        <x:v>Required master data and user exist.</x:v>
      </x:c>
      <x:c r="L160" s="23" t="str">
        <x:v>Use dedicated non-production test data.</x:v>
      </x:c>
      <x:c r="M160" s="23" t="str">
        <x:v>1. Sign in as Accounts Manager. 2. Create a manual journal as allowed/disallowed users. 3. Save or submit. 4. Refresh or reopen the record. 5. Compare the result with the pass condition.</x:v>
      </x:c>
      <x:c r="N160" s="23" t="str">
        <x:v>Permission and balanced-entry rules are enforced.</x:v>
      </x:c>
      <x:c r="O160" s="26" t="str">
        <x:v>Not Run</x:v>
      </x:c>
      <x:c r="P160" s="26" t="str"/>
      <x:c r="Q160" s="26" t="str"/>
      <x:c r="R160" s="26" t="str"/>
      <x:c r="S160" s="26" t="str"/>
      <x:c r="T160" s="26" t="str"/>
      <x:c r="U160" s="26" t="str">
        <x:v>QA</x:v>
      </x:c>
      <x:c r="V160" s="26" t="str"/>
      <x:c r="W160" s="29" t="str"/>
      <x:c r="X160" s="26" t="str"/>
      <x:c r="Y160" s="26" t="str">
        <x:v>Not Required</x:v>
      </x:c>
      <x:c r="Z160" s="26" t="str"/>
      <x:c r="AA160" s="28" t="n">
        <x:f>IF(OR(O160="Passed",O160="Failed",O160="Blocked"),1,0)</x:f>
        <x:v>0</x:v>
      </x:c>
      <x:c r="AB160" s="28" t="n">
        <x:f>IF(O160="Passed",1,0)</x:f>
        <x:v>0</x:v>
      </x:c>
      <x:c r="AC160" s="28" t="n">
        <x:f>IF(AND(OR(R160="Critical",R160="High"),OR(O160="Failed",O160="Blocked"),S160&lt;&gt;"Closed",S160&lt;&gt;"Rejected"),1,0)</x:f>
        <x:v>0</x:v>
      </x:c>
      <x:c r="AD160" s="28" t="n">
        <x:f>IF(X160&lt;&gt;"",1,0)</x:f>
        <x:v>0</x:v>
      </x:c>
      <x:c r="AE160" s="28" t="n">
        <x:f>IF(J160&lt;&gt;"",1,0)</x:f>
        <x:v>0</x:v>
      </x:c>
    </x:row>
    <x:row r="161">
      <x:c r="A161" s="23" t="str">
        <x:v>L2-130</x:v>
      </x:c>
      <x:c r="B161" s="23" t="str">
        <x:v>Level 2</x:v>
      </x:c>
      <x:c r="C161" s="23" t="str">
        <x:v>Accounts, Corporate &amp; Expenses</x:v>
      </x:c>
      <x:c r="D161" s="23" t="str"/>
      <x:c r="E161" s="23" t="str">
        <x:v>Ledger filters</x:v>
      </x:c>
      <x:c r="F161" s="23" t="str">
        <x:v>Functional</x:v>
      </x:c>
      <x:c r="G161" s="23" t="str">
        <x:v>Accounts Manager</x:v>
      </x:c>
      <x:c r="H161" s="23" t="str">
        <x:v>Medium</x:v>
      </x:c>
      <x:c r="I161" s="23" t="str">
        <x:v>No</x:v>
      </x:c>
      <x:c r="J161" s="23" t="str"/>
      <x:c r="K161" s="23" t="str">
        <x:v>Required master data and user exist.</x:v>
      </x:c>
      <x:c r="L161" s="23" t="str">
        <x:v>Use dedicated non-production test data.</x:v>
      </x:c>
      <x:c r="M161" s="23" t="str">
        <x:v>1. Sign in as Accounts Manager. 2. Filter by account/date/type and paginate. 3. Save or submit. 4. Refresh or reopen the record. 5. Compare the result with the pass condition.</x:v>
      </x:c>
      <x:c r="N161" s="23" t="str">
        <x:v>Rows and totals match source entries.</x:v>
      </x:c>
      <x:c r="O161" s="26" t="str">
        <x:v>Not Run</x:v>
      </x:c>
      <x:c r="P161" s="26" t="str"/>
      <x:c r="Q161" s="26" t="str"/>
      <x:c r="R161" s="26" t="str"/>
      <x:c r="S161" s="26" t="str"/>
      <x:c r="T161" s="26" t="str"/>
      <x:c r="U161" s="26" t="str">
        <x:v>QA</x:v>
      </x:c>
      <x:c r="V161" s="26" t="str"/>
      <x:c r="W161" s="29" t="str"/>
      <x:c r="X161" s="26" t="str"/>
      <x:c r="Y161" s="26" t="str">
        <x:v>Not Required</x:v>
      </x:c>
      <x:c r="Z161" s="26" t="str"/>
      <x:c r="AA161" s="28" t="n">
        <x:f>IF(OR(O161="Passed",O161="Failed",O161="Blocked"),1,0)</x:f>
        <x:v>0</x:v>
      </x:c>
      <x:c r="AB161" s="28" t="n">
        <x:f>IF(O161="Passed",1,0)</x:f>
        <x:v>0</x:v>
      </x:c>
      <x:c r="AC161" s="28" t="n">
        <x:f>IF(AND(OR(R161="Critical",R161="High"),OR(O161="Failed",O161="Blocked"),S161&lt;&gt;"Closed",S161&lt;&gt;"Rejected"),1,0)</x:f>
        <x:v>0</x:v>
      </x:c>
      <x:c r="AD161" s="28" t="n">
        <x:f>IF(X161&lt;&gt;"",1,0)</x:f>
        <x:v>0</x:v>
      </x:c>
      <x:c r="AE161" s="28" t="n">
        <x:f>IF(J161&lt;&gt;"",1,0)</x:f>
        <x:v>0</x:v>
      </x:c>
    </x:row>
    <x:row r="162">
      <x:c r="A162" s="23" t="str">
        <x:v>L2-131</x:v>
      </x:c>
      <x:c r="B162" s="23" t="str">
        <x:v>Level 2</x:v>
      </x:c>
      <x:c r="C162" s="23" t="str">
        <x:v>Accounts, Corporate &amp; Expenses</x:v>
      </x:c>
      <x:c r="D162" s="23" t="str"/>
      <x:c r="E162" s="23" t="str">
        <x:v>Daily collection</x:v>
      </x:c>
      <x:c r="F162" s="23" t="str">
        <x:v>Functional</x:v>
      </x:c>
      <x:c r="G162" s="23" t="str">
        <x:v>Accounts Manager</x:v>
      </x:c>
      <x:c r="H162" s="23" t="str">
        <x:v>Medium</x:v>
      </x:c>
      <x:c r="I162" s="23" t="str">
        <x:v>No</x:v>
      </x:c>
      <x:c r="J162" s="23" t="str"/>
      <x:c r="K162" s="23" t="str">
        <x:v>Required master data and user exist.</x:v>
      </x:c>
      <x:c r="L162" s="23" t="str">
        <x:v>Use dedicated non-production test data.</x:v>
      </x:c>
      <x:c r="M162" s="23" t="str">
        <x:v>1. Sign in as Accounts Manager. 2. Compare receipts with daily collection report. 3. Save or submit. 4. Refresh or reopen the record. 5. Compare the result with the pass condition.</x:v>
      </x:c>
      <x:c r="N162" s="23" t="str">
        <x:v>Totals and payment modes reconcile.</x:v>
      </x:c>
      <x:c r="O162" s="26" t="str">
        <x:v>Not Run</x:v>
      </x:c>
      <x:c r="P162" s="26" t="str"/>
      <x:c r="Q162" s="26" t="str"/>
      <x:c r="R162" s="26" t="str"/>
      <x:c r="S162" s="26" t="str"/>
      <x:c r="T162" s="26" t="str"/>
      <x:c r="U162" s="26" t="str">
        <x:v>QA</x:v>
      </x:c>
      <x:c r="V162" s="26" t="str"/>
      <x:c r="W162" s="29" t="str"/>
      <x:c r="X162" s="26" t="str"/>
      <x:c r="Y162" s="26" t="str">
        <x:v>Not Required</x:v>
      </x:c>
      <x:c r="Z162" s="26" t="str"/>
      <x:c r="AA162" s="28" t="n">
        <x:f>IF(OR(O162="Passed",O162="Failed",O162="Blocked"),1,0)</x:f>
        <x:v>0</x:v>
      </x:c>
      <x:c r="AB162" s="28" t="n">
        <x:f>IF(O162="Passed",1,0)</x:f>
        <x:v>0</x:v>
      </x:c>
      <x:c r="AC162" s="28" t="n">
        <x:f>IF(AND(OR(R162="Critical",R162="High"),OR(O162="Failed",O162="Blocked"),S162&lt;&gt;"Closed",S162&lt;&gt;"Rejected"),1,0)</x:f>
        <x:v>0</x:v>
      </x:c>
      <x:c r="AD162" s="28" t="n">
        <x:f>IF(X162&lt;&gt;"",1,0)</x:f>
        <x:v>0</x:v>
      </x:c>
      <x:c r="AE162" s="28" t="n">
        <x:f>IF(J162&lt;&gt;"",1,0)</x:f>
        <x:v>0</x:v>
      </x:c>
    </x:row>
    <x:row r="163">
      <x:c r="A163" s="23" t="str">
        <x:v>L2-132</x:v>
      </x:c>
      <x:c r="B163" s="23" t="str">
        <x:v>Level 2</x:v>
      </x:c>
      <x:c r="C163" s="23" t="str">
        <x:v>Accounts, Corporate &amp; Expenses</x:v>
      </x:c>
      <x:c r="D163" s="23" t="str"/>
      <x:c r="E163" s="23" t="str">
        <x:v>Outstanding</x:v>
      </x:c>
      <x:c r="F163" s="23" t="str">
        <x:v>Functional</x:v>
      </x:c>
      <x:c r="G163" s="23" t="str">
        <x:v>Accounts Manager</x:v>
      </x:c>
      <x:c r="H163" s="23" t="str">
        <x:v>Medium</x:v>
      </x:c>
      <x:c r="I163" s="23" t="str">
        <x:v>No</x:v>
      </x:c>
      <x:c r="J163" s="23" t="str"/>
      <x:c r="K163" s="23" t="str">
        <x:v>Required master data and user exist.</x:v>
      </x:c>
      <x:c r="L163" s="23" t="str">
        <x:v>Use dedicated non-production test data.</x:v>
      </x:c>
      <x:c r="M163" s="23" t="str">
        <x:v>1. Sign in as Accounts Manager. 2. Compare unpaid/partial bills with outstanding report. 3. Save or submit. 4. Refresh or reopen the record. 5. Compare the result with the pass condition.</x:v>
      </x:c>
      <x:c r="N163" s="23" t="str">
        <x:v>Patient and corporate dues match.</x:v>
      </x:c>
      <x:c r="O163" s="26" t="str">
        <x:v>Not Run</x:v>
      </x:c>
      <x:c r="P163" s="26" t="str"/>
      <x:c r="Q163" s="26" t="str"/>
      <x:c r="R163" s="26" t="str"/>
      <x:c r="S163" s="26" t="str"/>
      <x:c r="T163" s="26" t="str"/>
      <x:c r="U163" s="26" t="str">
        <x:v>QA</x:v>
      </x:c>
      <x:c r="V163" s="26" t="str"/>
      <x:c r="W163" s="29" t="str"/>
      <x:c r="X163" s="26" t="str"/>
      <x:c r="Y163" s="26" t="str">
        <x:v>Not Required</x:v>
      </x:c>
      <x:c r="Z163" s="26" t="str"/>
      <x:c r="AA163" s="28" t="n">
        <x:f>IF(OR(O163="Passed",O163="Failed",O163="Blocked"),1,0)</x:f>
        <x:v>0</x:v>
      </x:c>
      <x:c r="AB163" s="28" t="n">
        <x:f>IF(O163="Passed",1,0)</x:f>
        <x:v>0</x:v>
      </x:c>
      <x:c r="AC163" s="28" t="n">
        <x:f>IF(AND(OR(R163="Critical",R163="High"),OR(O163="Failed",O163="Blocked"),S163&lt;&gt;"Closed",S163&lt;&gt;"Rejected"),1,0)</x:f>
        <x:v>0</x:v>
      </x:c>
      <x:c r="AD163" s="28" t="n">
        <x:f>IF(X163&lt;&gt;"",1,0)</x:f>
        <x:v>0</x:v>
      </x:c>
      <x:c r="AE163" s="28" t="n">
        <x:f>IF(J163&lt;&gt;"",1,0)</x:f>
        <x:v>0</x:v>
      </x:c>
    </x:row>
    <x:row r="164">
      <x:c r="A164" s="23" t="str">
        <x:v>L2-133</x:v>
      </x:c>
      <x:c r="B164" s="23" t="str">
        <x:v>Level 2</x:v>
      </x:c>
      <x:c r="C164" s="23" t="str">
        <x:v>Accounts, Corporate &amp; Expenses</x:v>
      </x:c>
      <x:c r="D164" s="23" t="str"/>
      <x:c r="E164" s="23" t="str">
        <x:v>P&amp;L</x:v>
      </x:c>
      <x:c r="F164" s="23" t="str">
        <x:v>Functional</x:v>
      </x:c>
      <x:c r="G164" s="23" t="str">
        <x:v>Accounts Manager</x:v>
      </x:c>
      <x:c r="H164" s="23" t="str">
        <x:v>Medium</x:v>
      </x:c>
      <x:c r="I164" s="23" t="str">
        <x:v>No</x:v>
      </x:c>
      <x:c r="J164" s="23" t="str"/>
      <x:c r="K164" s="23" t="str">
        <x:v>Required master data and user exist.</x:v>
      </x:c>
      <x:c r="L164" s="23" t="str">
        <x:v>Use dedicated non-production test data.</x:v>
      </x:c>
      <x:c r="M164" s="23" t="str">
        <x:v>1. Sign in as Accounts Manager. 2. Compare revenue and expense source records. 3. Save or submit. 4. Refresh or reopen the record. 5. Compare the result with the pass condition.</x:v>
      </x:c>
      <x:c r="N164" s="23" t="str">
        <x:v>P&amp;L totals and date ranges are correct.</x:v>
      </x:c>
      <x:c r="O164" s="26" t="str">
        <x:v>Not Run</x:v>
      </x:c>
      <x:c r="P164" s="26" t="str"/>
      <x:c r="Q164" s="26" t="str"/>
      <x:c r="R164" s="26" t="str"/>
      <x:c r="S164" s="26" t="str"/>
      <x:c r="T164" s="26" t="str"/>
      <x:c r="U164" s="26" t="str">
        <x:v>QA</x:v>
      </x:c>
      <x:c r="V164" s="26" t="str"/>
      <x:c r="W164" s="29" t="str"/>
      <x:c r="X164" s="26" t="str"/>
      <x:c r="Y164" s="26" t="str">
        <x:v>Not Required</x:v>
      </x:c>
      <x:c r="Z164" s="26" t="str"/>
      <x:c r="AA164" s="28" t="n">
        <x:f>IF(OR(O164="Passed",O164="Failed",O164="Blocked"),1,0)</x:f>
        <x:v>0</x:v>
      </x:c>
      <x:c r="AB164" s="28" t="n">
        <x:f>IF(O164="Passed",1,0)</x:f>
        <x:v>0</x:v>
      </x:c>
      <x:c r="AC164" s="28" t="n">
        <x:f>IF(AND(OR(R164="Critical",R164="High"),OR(O164="Failed",O164="Blocked"),S164&lt;&gt;"Closed",S164&lt;&gt;"Rejected"),1,0)</x:f>
        <x:v>0</x:v>
      </x:c>
      <x:c r="AD164" s="28" t="n">
        <x:f>IF(X164&lt;&gt;"",1,0)</x:f>
        <x:v>0</x:v>
      </x:c>
      <x:c r="AE164" s="28" t="n">
        <x:f>IF(J164&lt;&gt;"",1,0)</x:f>
        <x:v>0</x:v>
      </x:c>
    </x:row>
    <x:row r="165">
      <x:c r="A165" s="23" t="str">
        <x:v>L2-134</x:v>
      </x:c>
      <x:c r="B165" s="23" t="str">
        <x:v>Level 2</x:v>
      </x:c>
      <x:c r="C165" s="23" t="str">
        <x:v>Accounts, Corporate &amp; Expenses</x:v>
      </x:c>
      <x:c r="D165" s="23" t="str"/>
      <x:c r="E165" s="23" t="str">
        <x:v>Expense validation</x:v>
      </x:c>
      <x:c r="F165" s="23" t="str">
        <x:v>Functional</x:v>
      </x:c>
      <x:c r="G165" s="23" t="str">
        <x:v>Accounts Manager</x:v>
      </x:c>
      <x:c r="H165" s="23" t="str">
        <x:v>Medium</x:v>
      </x:c>
      <x:c r="I165" s="23" t="str">
        <x:v>No</x:v>
      </x:c>
      <x:c r="J165" s="23" t="str"/>
      <x:c r="K165" s="23" t="str">
        <x:v>Required master data and user exist.</x:v>
      </x:c>
      <x:c r="L165" s="23" t="str">
        <x:v>Use dedicated non-production test data.</x:v>
      </x:c>
      <x:c r="M165" s="23" t="str">
        <x:v>1. Sign in as Accounts Manager. 2. Create valid and invalid expenses. 3. Save or submit. 4. Refresh or reopen the record. 5. Compare the result with the pass condition.</x:v>
      </x:c>
      <x:c r="N165" s="23" t="str">
        <x:v>Only valid authorized expense saves.</x:v>
      </x:c>
      <x:c r="O165" s="26" t="str">
        <x:v>Not Run</x:v>
      </x:c>
      <x:c r="P165" s="26" t="str"/>
      <x:c r="Q165" s="26" t="str"/>
      <x:c r="R165" s="26" t="str"/>
      <x:c r="S165" s="26" t="str"/>
      <x:c r="T165" s="26" t="str"/>
      <x:c r="U165" s="26" t="str">
        <x:v>QA</x:v>
      </x:c>
      <x:c r="V165" s="26" t="str"/>
      <x:c r="W165" s="29" t="str"/>
      <x:c r="X165" s="26" t="str"/>
      <x:c r="Y165" s="26" t="str">
        <x:v>Not Required</x:v>
      </x:c>
      <x:c r="Z165" s="26" t="str"/>
      <x:c r="AA165" s="28" t="n">
        <x:f>IF(OR(O165="Passed",O165="Failed",O165="Blocked"),1,0)</x:f>
        <x:v>0</x:v>
      </x:c>
      <x:c r="AB165" s="28" t="n">
        <x:f>IF(O165="Passed",1,0)</x:f>
        <x:v>0</x:v>
      </x:c>
      <x:c r="AC165" s="28" t="n">
        <x:f>IF(AND(OR(R165="Critical",R165="High"),OR(O165="Failed",O165="Blocked"),S165&lt;&gt;"Closed",S165&lt;&gt;"Rejected"),1,0)</x:f>
        <x:v>0</x:v>
      </x:c>
      <x:c r="AD165" s="28" t="n">
        <x:f>IF(X165&lt;&gt;"",1,0)</x:f>
        <x:v>0</x:v>
      </x:c>
      <x:c r="AE165" s="28" t="n">
        <x:f>IF(J165&lt;&gt;"",1,0)</x:f>
        <x:v>0</x:v>
      </x:c>
    </x:row>
    <x:row r="166">
      <x:c r="A166" s="23" t="str">
        <x:v>L2-135</x:v>
      </x:c>
      <x:c r="B166" s="23" t="str">
        <x:v>Level 2</x:v>
      </x:c>
      <x:c r="C166" s="23" t="str">
        <x:v>Accounts, Corporate &amp; Expenses</x:v>
      </x:c>
      <x:c r="D166" s="23" t="str"/>
      <x:c r="E166" s="23" t="str">
        <x:v>Expense approval</x:v>
      </x:c>
      <x:c r="F166" s="23" t="str">
        <x:v>Functional</x:v>
      </x:c>
      <x:c r="G166" s="23" t="str">
        <x:v>Accounts Manager</x:v>
      </x:c>
      <x:c r="H166" s="23" t="str">
        <x:v>Medium</x:v>
      </x:c>
      <x:c r="I166" s="23" t="str">
        <x:v>No</x:v>
      </x:c>
      <x:c r="J166" s="23" t="str">
        <x:v>Expense approval workflow</x:v>
      </x:c>
      <x:c r="K166" s="23" t="str">
        <x:v>Required master data and user exist.</x:v>
      </x:c>
      <x:c r="L166" s="23" t="str">
        <x:v>Use dedicated non-production test data.</x:v>
      </x:c>
      <x:c r="M166" s="23" t="str">
        <x:v>1. Sign in as Accounts Manager. 2. Submit and approve/reject an expense. 3. Save or submit. 4. Refresh or reopen the record. 5. Compare the result with the pass condition.</x:v>
      </x:c>
      <x:c r="N166" s="23" t="str">
        <x:v>Approval history is complete.</x:v>
      </x:c>
      <x:c r="O166" s="26" t="str">
        <x:v>Not Run</x:v>
      </x:c>
      <x:c r="P166" s="26" t="str"/>
      <x:c r="Q166" s="26" t="str"/>
      <x:c r="R166" s="26" t="str"/>
      <x:c r="S166" s="26" t="str"/>
      <x:c r="T166" s="26" t="str"/>
      <x:c r="U166" s="26" t="str">
        <x:v>QA</x:v>
      </x:c>
      <x:c r="V166" s="26" t="str"/>
      <x:c r="W166" s="29" t="str"/>
      <x:c r="X166" s="26" t="str"/>
      <x:c r="Y166" s="26" t="str">
        <x:v>Not Required</x:v>
      </x:c>
      <x:c r="Z166" s="26" t="str"/>
      <x:c r="AA166" s="28" t="n">
        <x:f>IF(OR(O166="Passed",O166="Failed",O166="Blocked"),1,0)</x:f>
        <x:v>0</x:v>
      </x:c>
      <x:c r="AB166" s="28" t="n">
        <x:f>IF(O166="Passed",1,0)</x:f>
        <x:v>0</x:v>
      </x:c>
      <x:c r="AC166" s="28" t="n">
        <x:f>IF(AND(OR(R166="Critical",R166="High"),OR(O166="Failed",O166="Blocked"),S166&lt;&gt;"Closed",S166&lt;&gt;"Rejected"),1,0)</x:f>
        <x:v>0</x:v>
      </x:c>
      <x:c r="AD166" s="28" t="n">
        <x:f>IF(X166&lt;&gt;"",1,0)</x:f>
        <x:v>0</x:v>
      </x:c>
      <x:c r="AE166" s="28" t="n">
        <x:f>IF(J166&lt;&gt;"",1,0)</x:f>
        <x:v>1</x:v>
      </x:c>
    </x:row>
    <x:row r="167">
      <x:c r="A167" s="23" t="str">
        <x:v>L2-136</x:v>
      </x:c>
      <x:c r="B167" s="23" t="str">
        <x:v>Level 2</x:v>
      </x:c>
      <x:c r="C167" s="23" t="str">
        <x:v>Accounts, Corporate &amp; Expenses</x:v>
      </x:c>
      <x:c r="D167" s="23" t="str"/>
      <x:c r="E167" s="23" t="str">
        <x:v>Expense attachment</x:v>
      </x:c>
      <x:c r="F167" s="23" t="str">
        <x:v>Functional</x:v>
      </x:c>
      <x:c r="G167" s="23" t="str">
        <x:v>Accounts Manager</x:v>
      </x:c>
      <x:c r="H167" s="23" t="str">
        <x:v>Medium</x:v>
      </x:c>
      <x:c r="I167" s="23" t="str">
        <x:v>No</x:v>
      </x:c>
      <x:c r="J167" s="23" t="str">
        <x:v>Expense attachments</x:v>
      </x:c>
      <x:c r="K167" s="23" t="str">
        <x:v>Required master data and user exist.</x:v>
      </x:c>
      <x:c r="L167" s="23" t="str">
        <x:v>Use dedicated non-production test data.</x:v>
      </x:c>
      <x:c r="M167" s="23" t="str">
        <x:v>1. Sign in as Accounts Manager. 2. Attach supporting evidence. 3. Save or submit. 4. Refresh or reopen the record. 5. Compare the result with the pass condition.</x:v>
      </x:c>
      <x:c r="N167" s="23" t="str">
        <x:v>Attachment is safe and retrievable or the gap is recorded.</x:v>
      </x:c>
      <x:c r="O167" s="26" t="str">
        <x:v>Not Run</x:v>
      </x:c>
      <x:c r="P167" s="26" t="str"/>
      <x:c r="Q167" s="26" t="str"/>
      <x:c r="R167" s="26" t="str"/>
      <x:c r="S167" s="26" t="str"/>
      <x:c r="T167" s="26" t="str"/>
      <x:c r="U167" s="26" t="str">
        <x:v>QA</x:v>
      </x:c>
      <x:c r="V167" s="26" t="str"/>
      <x:c r="W167" s="29" t="str"/>
      <x:c r="X167" s="26" t="str"/>
      <x:c r="Y167" s="26" t="str">
        <x:v>Not Required</x:v>
      </x:c>
      <x:c r="Z167" s="26" t="str"/>
      <x:c r="AA167" s="28" t="n">
        <x:f>IF(OR(O167="Passed",O167="Failed",O167="Blocked"),1,0)</x:f>
        <x:v>0</x:v>
      </x:c>
      <x:c r="AB167" s="28" t="n">
        <x:f>IF(O167="Passed",1,0)</x:f>
        <x:v>0</x:v>
      </x:c>
      <x:c r="AC167" s="28" t="n">
        <x:f>IF(AND(OR(R167="Critical",R167="High"),OR(O167="Failed",O167="Blocked"),S167&lt;&gt;"Closed",S167&lt;&gt;"Rejected"),1,0)</x:f>
        <x:v>0</x:v>
      </x:c>
      <x:c r="AD167" s="28" t="n">
        <x:f>IF(X167&lt;&gt;"",1,0)</x:f>
        <x:v>0</x:v>
      </x:c>
      <x:c r="AE167" s="28" t="n">
        <x:f>IF(J167&lt;&gt;"",1,0)</x:f>
        <x:v>1</x:v>
      </x:c>
    </x:row>
    <x:row r="168">
      <x:c r="A168" s="23" t="str">
        <x:v>L2-137</x:v>
      </x:c>
      <x:c r="B168" s="23" t="str">
        <x:v>Level 2</x:v>
      </x:c>
      <x:c r="C168" s="23" t="str">
        <x:v>Accounts, Corporate &amp; Expenses</x:v>
      </x:c>
      <x:c r="D168" s="23" t="str"/>
      <x:c r="E168" s="23" t="str">
        <x:v>Recurring expense</x:v>
      </x:c>
      <x:c r="F168" s="23" t="str">
        <x:v>Functional</x:v>
      </x:c>
      <x:c r="G168" s="23" t="str">
        <x:v>Accounts Manager</x:v>
      </x:c>
      <x:c r="H168" s="23" t="str">
        <x:v>Medium</x:v>
      </x:c>
      <x:c r="I168" s="23" t="str">
        <x:v>No</x:v>
      </x:c>
      <x:c r="J168" s="23" t="str">
        <x:v>Recurring expenses</x:v>
      </x:c>
      <x:c r="K168" s="23" t="str">
        <x:v>Required master data and user exist.</x:v>
      </x:c>
      <x:c r="L168" s="23" t="str">
        <x:v>Use dedicated non-production test data.</x:v>
      </x:c>
      <x:c r="M168" s="23" t="str">
        <x:v>1. Sign in as Accounts Manager. 2. Create and generate a recurring expense. 3. Save or submit. 4. Refresh or reopen the record. 5. Compare the result with the pass condition.</x:v>
      </x:c>
      <x:c r="N168" s="23" t="str">
        <x:v>No missed or duplicate entries.</x:v>
      </x:c>
      <x:c r="O168" s="26" t="str">
        <x:v>Not Run</x:v>
      </x:c>
      <x:c r="P168" s="26" t="str"/>
      <x:c r="Q168" s="26" t="str"/>
      <x:c r="R168" s="26" t="str"/>
      <x:c r="S168" s="26" t="str"/>
      <x:c r="T168" s="26" t="str"/>
      <x:c r="U168" s="26" t="str">
        <x:v>QA</x:v>
      </x:c>
      <x:c r="V168" s="26" t="str"/>
      <x:c r="W168" s="29" t="str"/>
      <x:c r="X168" s="26" t="str"/>
      <x:c r="Y168" s="26" t="str">
        <x:v>Not Required</x:v>
      </x:c>
      <x:c r="Z168" s="26" t="str"/>
      <x:c r="AA168" s="28" t="n">
        <x:f>IF(OR(O168="Passed",O168="Failed",O168="Blocked"),1,0)</x:f>
        <x:v>0</x:v>
      </x:c>
      <x:c r="AB168" s="28" t="n">
        <x:f>IF(O168="Passed",1,0)</x:f>
        <x:v>0</x:v>
      </x:c>
      <x:c r="AC168" s="28" t="n">
        <x:f>IF(AND(OR(R168="Critical",R168="High"),OR(O168="Failed",O168="Blocked"),S168&lt;&gt;"Closed",S168&lt;&gt;"Rejected"),1,0)</x:f>
        <x:v>0</x:v>
      </x:c>
      <x:c r="AD168" s="28" t="n">
        <x:f>IF(X168&lt;&gt;"",1,0)</x:f>
        <x:v>0</x:v>
      </x:c>
      <x:c r="AE168" s="28" t="n">
        <x:f>IF(J168&lt;&gt;"",1,0)</x:f>
        <x:v>1</x:v>
      </x:c>
    </x:row>
    <x:row r="169">
      <x:c r="A169" s="23" t="str">
        <x:v>L2-138</x:v>
      </x:c>
      <x:c r="B169" s="23" t="str">
        <x:v>Level 2</x:v>
      </x:c>
      <x:c r="C169" s="23" t="str">
        <x:v>Accounts, Corporate &amp; Expenses</x:v>
      </x:c>
      <x:c r="D169" s="23" t="str"/>
      <x:c r="E169" s="23" t="str">
        <x:v>Corporate statement</x:v>
      </x:c>
      <x:c r="F169" s="23" t="str">
        <x:v>Functional</x:v>
      </x:c>
      <x:c r="G169" s="23" t="str">
        <x:v>Accounts Manager</x:v>
      </x:c>
      <x:c r="H169" s="23" t="str">
        <x:v>Medium</x:v>
      </x:c>
      <x:c r="I169" s="23" t="str">
        <x:v>No</x:v>
      </x:c>
      <x:c r="J169" s="23" t="str"/>
      <x:c r="K169" s="23" t="str">
        <x:v>Required master data and user exist.</x:v>
      </x:c>
      <x:c r="L169" s="23" t="str">
        <x:v>Use dedicated non-production test data.</x:v>
      </x:c>
      <x:c r="M169" s="23" t="str">
        <x:v>1. Sign in as Accounts Manager. 2. Generate a statement for a date range. 3. Save or submit. 4. Refresh or reopen the record. 5. Compare the result with the pass condition.</x:v>
      </x:c>
      <x:c r="N169" s="23" t="str">
        <x:v>Opening, bills, payments and closing balance reconcile.</x:v>
      </x:c>
      <x:c r="O169" s="26" t="str">
        <x:v>Not Run</x:v>
      </x:c>
      <x:c r="P169" s="26" t="str"/>
      <x:c r="Q169" s="26" t="str"/>
      <x:c r="R169" s="26" t="str"/>
      <x:c r="S169" s="26" t="str"/>
      <x:c r="T169" s="26" t="str"/>
      <x:c r="U169" s="26" t="str">
        <x:v>QA</x:v>
      </x:c>
      <x:c r="V169" s="26" t="str"/>
      <x:c r="W169" s="29" t="str"/>
      <x:c r="X169" s="26" t="str"/>
      <x:c r="Y169" s="26" t="str">
        <x:v>Not Required</x:v>
      </x:c>
      <x:c r="Z169" s="26" t="str"/>
      <x:c r="AA169" s="28" t="n">
        <x:f>IF(OR(O169="Passed",O169="Failed",O169="Blocked"),1,0)</x:f>
        <x:v>0</x:v>
      </x:c>
      <x:c r="AB169" s="28" t="n">
        <x:f>IF(O169="Passed",1,0)</x:f>
        <x:v>0</x:v>
      </x:c>
      <x:c r="AC169" s="28" t="n">
        <x:f>IF(AND(OR(R169="Critical",R169="High"),OR(O169="Failed",O169="Blocked"),S169&lt;&gt;"Closed",S169&lt;&gt;"Rejected"),1,0)</x:f>
        <x:v>0</x:v>
      </x:c>
      <x:c r="AD169" s="28" t="n">
        <x:f>IF(X169&lt;&gt;"",1,0)</x:f>
        <x:v>0</x:v>
      </x:c>
      <x:c r="AE169" s="28" t="n">
        <x:f>IF(J169&lt;&gt;"",1,0)</x:f>
        <x:v>0</x:v>
      </x:c>
    </x:row>
    <x:row r="170">
      <x:c r="A170" s="23" t="str">
        <x:v>L2-139</x:v>
      </x:c>
      <x:c r="B170" s="23" t="str">
        <x:v>Level 2</x:v>
      </x:c>
      <x:c r="C170" s="23" t="str">
        <x:v>Accounts, Corporate &amp; Expenses</x:v>
      </x:c>
      <x:c r="D170" s="23" t="str"/>
      <x:c r="E170" s="23" t="str">
        <x:v>Corporate aging</x:v>
      </x:c>
      <x:c r="F170" s="23" t="str">
        <x:v>Functional</x:v>
      </x:c>
      <x:c r="G170" s="23" t="str">
        <x:v>Accounts Manager</x:v>
      </x:c>
      <x:c r="H170" s="23" t="str">
        <x:v>Medium</x:v>
      </x:c>
      <x:c r="I170" s="23" t="str">
        <x:v>No</x:v>
      </x:c>
      <x:c r="J170" s="23" t="str">
        <x:v>Corporate aging report</x:v>
      </x:c>
      <x:c r="K170" s="23" t="str">
        <x:v>Required master data and user exist.</x:v>
      </x:c>
      <x:c r="L170" s="23" t="str">
        <x:v>Use dedicated non-production test data.</x:v>
      </x:c>
      <x:c r="M170" s="23" t="str">
        <x:v>1. Sign in as Accounts Manager. 2. Age outstanding corporate invoices. 3. Save or submit. 4. Refresh or reopen the record. 5. Compare the result with the pass condition.</x:v>
      </x:c>
      <x:c r="N170" s="23" t="str">
        <x:v>Aging buckets are correct.</x:v>
      </x:c>
      <x:c r="O170" s="26" t="str">
        <x:v>Not Run</x:v>
      </x:c>
      <x:c r="P170" s="26" t="str"/>
      <x:c r="Q170" s="26" t="str"/>
      <x:c r="R170" s="26" t="str"/>
      <x:c r="S170" s="26" t="str"/>
      <x:c r="T170" s="26" t="str"/>
      <x:c r="U170" s="26" t="str">
        <x:v>QA</x:v>
      </x:c>
      <x:c r="V170" s="26" t="str"/>
      <x:c r="W170" s="29" t="str"/>
      <x:c r="X170" s="26" t="str"/>
      <x:c r="Y170" s="26" t="str">
        <x:v>Not Required</x:v>
      </x:c>
      <x:c r="Z170" s="26" t="str"/>
      <x:c r="AA170" s="28" t="n">
        <x:f>IF(OR(O170="Passed",O170="Failed",O170="Blocked"),1,0)</x:f>
        <x:v>0</x:v>
      </x:c>
      <x:c r="AB170" s="28" t="n">
        <x:f>IF(O170="Passed",1,0)</x:f>
        <x:v>0</x:v>
      </x:c>
      <x:c r="AC170" s="28" t="n">
        <x:f>IF(AND(OR(R170="Critical",R170="High"),OR(O170="Failed",O170="Blocked"),S170&lt;&gt;"Closed",S170&lt;&gt;"Rejected"),1,0)</x:f>
        <x:v>0</x:v>
      </x:c>
      <x:c r="AD170" s="28" t="n">
        <x:f>IF(X170&lt;&gt;"",1,0)</x:f>
        <x:v>0</x:v>
      </x:c>
      <x:c r="AE170" s="28" t="n">
        <x:f>IF(J170&lt;&gt;"",1,0)</x:f>
        <x:v>1</x:v>
      </x:c>
    </x:row>
    <x:row r="171">
      <x:c r="A171" s="23" t="str">
        <x:v>L2-140</x:v>
      </x:c>
      <x:c r="B171" s="23" t="str">
        <x:v>Level 2</x:v>
      </x:c>
      <x:c r="C171" s="23" t="str">
        <x:v>Accounts, Corporate &amp; Expenses</x:v>
      </x:c>
      <x:c r="D171" s="23" t="str"/>
      <x:c r="E171" s="23" t="str">
        <x:v>Daily close/reopen</x:v>
      </x:c>
      <x:c r="F171" s="23" t="str">
        <x:v>Functional</x:v>
      </x:c>
      <x:c r="G171" s="23" t="str">
        <x:v>Accounts Manager</x:v>
      </x:c>
      <x:c r="H171" s="23" t="str">
        <x:v>Medium</x:v>
      </x:c>
      <x:c r="I171" s="23" t="str">
        <x:v>No</x:v>
      </x:c>
      <x:c r="J171" s="23" t="str">
        <x:v>Daily close/reconciliation</x:v>
      </x:c>
      <x:c r="K171" s="23" t="str">
        <x:v>Required master data and user exist.</x:v>
      </x:c>
      <x:c r="L171" s="23" t="str">
        <x:v>Use dedicated non-production test data.</x:v>
      </x:c>
      <x:c r="M171" s="23" t="str">
        <x:v>1. Sign in as Accounts Manager. 2. Close, attempt late entry and authorized reopen. 3. Save or submit. 4. Refresh or reopen the record. 5. Compare the result with the pass condition.</x:v>
      </x:c>
      <x:c r="N171" s="23" t="str">
        <x:v>Policy, reason and audit are enforced.</x:v>
      </x:c>
      <x:c r="O171" s="26" t="str">
        <x:v>Not Run</x:v>
      </x:c>
      <x:c r="P171" s="26" t="str"/>
      <x:c r="Q171" s="26" t="str"/>
      <x:c r="R171" s="26" t="str"/>
      <x:c r="S171" s="26" t="str"/>
      <x:c r="T171" s="26" t="str"/>
      <x:c r="U171" s="26" t="str">
        <x:v>QA</x:v>
      </x:c>
      <x:c r="V171" s="26" t="str"/>
      <x:c r="W171" s="29" t="str"/>
      <x:c r="X171" s="26" t="str"/>
      <x:c r="Y171" s="26" t="str">
        <x:v>Not Required</x:v>
      </x:c>
      <x:c r="Z171" s="26" t="str"/>
      <x:c r="AA171" s="28" t="n">
        <x:f>IF(OR(O171="Passed",O171="Failed",O171="Blocked"),1,0)</x:f>
        <x:v>0</x:v>
      </x:c>
      <x:c r="AB171" s="28" t="n">
        <x:f>IF(O171="Passed",1,0)</x:f>
        <x:v>0</x:v>
      </x:c>
      <x:c r="AC171" s="28" t="n">
        <x:f>IF(AND(OR(R171="Critical",R171="High"),OR(O171="Failed",O171="Blocked"),S171&lt;&gt;"Closed",S171&lt;&gt;"Rejected"),1,0)</x:f>
        <x:v>0</x:v>
      </x:c>
      <x:c r="AD171" s="28" t="n">
        <x:f>IF(X171&lt;&gt;"",1,0)</x:f>
        <x:v>0</x:v>
      </x:c>
      <x:c r="AE171" s="28" t="n">
        <x:f>IF(J171&lt;&gt;"",1,0)</x:f>
        <x:v>1</x:v>
      </x:c>
    </x:row>
    <x:row r="172">
      <x:c r="A172" s="23" t="str">
        <x:v>L2-141</x:v>
      </x:c>
      <x:c r="B172" s="23" t="str">
        <x:v>Level 2</x:v>
      </x:c>
      <x:c r="C172" s="23" t="str">
        <x:v>Accounts, Corporate &amp; Expenses</x:v>
      </x:c>
      <x:c r="D172" s="23" t="str"/>
      <x:c r="E172" s="23" t="str">
        <x:v>Financial export</x:v>
      </x:c>
      <x:c r="F172" s="23" t="str">
        <x:v>Functional</x:v>
      </x:c>
      <x:c r="G172" s="23" t="str">
        <x:v>Accounts Manager</x:v>
      </x:c>
      <x:c r="H172" s="23" t="str">
        <x:v>Medium</x:v>
      </x:c>
      <x:c r="I172" s="23" t="str">
        <x:v>No</x:v>
      </x:c>
      <x:c r="J172" s="23" t="str">
        <x:v>Advanced export formats</x:v>
      </x:c>
      <x:c r="K172" s="23" t="str">
        <x:v>Required master data and user exist.</x:v>
      </x:c>
      <x:c r="L172" s="23" t="str">
        <x:v>Use dedicated non-production test data.</x:v>
      </x:c>
      <x:c r="M172" s="23" t="str">
        <x:v>1. Sign in as Accounts Manager. 2. Export ledger, P&amp;L and statements. 3. Save or submit. 4. Refresh or reopen the record. 5. Compare the result with the pass condition.</x:v>
      </x:c>
      <x:c r="N172" s="23" t="str">
        <x:v>Export matches screen totals.</x:v>
      </x:c>
      <x:c r="O172" s="26" t="str">
        <x:v>Not Run</x:v>
      </x:c>
      <x:c r="P172" s="26" t="str"/>
      <x:c r="Q172" s="26" t="str"/>
      <x:c r="R172" s="26" t="str"/>
      <x:c r="S172" s="26" t="str"/>
      <x:c r="T172" s="26" t="str"/>
      <x:c r="U172" s="26" t="str">
        <x:v>QA</x:v>
      </x:c>
      <x:c r="V172" s="26" t="str"/>
      <x:c r="W172" s="29" t="str"/>
      <x:c r="X172" s="26" t="str"/>
      <x:c r="Y172" s="26" t="str">
        <x:v>Not Required</x:v>
      </x:c>
      <x:c r="Z172" s="26" t="str"/>
      <x:c r="AA172" s="28" t="n">
        <x:f>IF(OR(O172="Passed",O172="Failed",O172="Blocked"),1,0)</x:f>
        <x:v>0</x:v>
      </x:c>
      <x:c r="AB172" s="28" t="n">
        <x:f>IF(O172="Passed",1,0)</x:f>
        <x:v>0</x:v>
      </x:c>
      <x:c r="AC172" s="28" t="n">
        <x:f>IF(AND(OR(R172="Critical",R172="High"),OR(O172="Failed",O172="Blocked"),S172&lt;&gt;"Closed",S172&lt;&gt;"Rejected"),1,0)</x:f>
        <x:v>0</x:v>
      </x:c>
      <x:c r="AD172" s="28" t="n">
        <x:f>IF(X172&lt;&gt;"",1,0)</x:f>
        <x:v>0</x:v>
      </x:c>
      <x:c r="AE172" s="28" t="n">
        <x:f>IF(J172&lt;&gt;"",1,0)</x:f>
        <x:v>1</x:v>
      </x:c>
    </x:row>
    <x:row r="173">
      <x:c r="A173" s="23" t="str">
        <x:v>L2-142</x:v>
      </x:c>
      <x:c r="B173" s="23" t="str">
        <x:v>Level 2</x:v>
      </x:c>
      <x:c r="C173" s="23" t="str">
        <x:v>Accounts, Corporate &amp; Expenses</x:v>
      </x:c>
      <x:c r="D173" s="23" t="str"/>
      <x:c r="E173" s="23" t="str">
        <x:v>Accounts audit</x:v>
      </x:c>
      <x:c r="F173" s="23" t="str">
        <x:v>Functional</x:v>
      </x:c>
      <x:c r="G173" s="23" t="str">
        <x:v>Accounts Manager</x:v>
      </x:c>
      <x:c r="H173" s="23" t="str">
        <x:v>Critical</x:v>
      </x:c>
      <x:c r="I173" s="23" t="str">
        <x:v>Yes</x:v>
      </x:c>
      <x:c r="J173" s="23" t="str">
        <x:v>Accounts audit coverage</x:v>
      </x:c>
      <x:c r="K173" s="23" t="str">
        <x:v>Required master data and user exist.</x:v>
      </x:c>
      <x:c r="L173" s="23" t="str">
        <x:v>Use dedicated non-production test data.</x:v>
      </x:c>
      <x:c r="M173" s="23" t="str">
        <x:v>1. Sign in as Accounts Manager. 2. Post, edit, refund and close. 3. Save or submit. 4. Refresh or reopen the record. 5. Compare the result with the pass condition.</x:v>
      </x:c>
      <x:c r="N173" s="23" t="str">
        <x:v>Complete financial audit history exists.</x:v>
      </x:c>
      <x:c r="O173" s="26" t="str">
        <x:v>Not Run</x:v>
      </x:c>
      <x:c r="P173" s="26" t="str"/>
      <x:c r="Q173" s="26" t="str"/>
      <x:c r="R173" s="26" t="str"/>
      <x:c r="S173" s="26" t="str"/>
      <x:c r="T173" s="26" t="str"/>
      <x:c r="U173" s="26" t="str">
        <x:v>QA</x:v>
      </x:c>
      <x:c r="V173" s="26" t="str"/>
      <x:c r="W173" s="29" t="str"/>
      <x:c r="X173" s="26" t="str"/>
      <x:c r="Y173" s="26" t="str">
        <x:v>Not Required</x:v>
      </x:c>
      <x:c r="Z173" s="26" t="str"/>
      <x:c r="AA173" s="28" t="n">
        <x:f>IF(OR(O173="Passed",O173="Failed",O173="Blocked"),1,0)</x:f>
        <x:v>0</x:v>
      </x:c>
      <x:c r="AB173" s="28" t="n">
        <x:f>IF(O173="Passed",1,0)</x:f>
        <x:v>0</x:v>
      </x:c>
      <x:c r="AC173" s="28" t="n">
        <x:f>IF(AND(OR(R173="Critical",R173="High"),OR(O173="Failed",O173="Blocked"),S173&lt;&gt;"Closed",S173&lt;&gt;"Rejected"),1,0)</x:f>
        <x:v>0</x:v>
      </x:c>
      <x:c r="AD173" s="28" t="n">
        <x:f>IF(X173&lt;&gt;"",1,0)</x:f>
        <x:v>0</x:v>
      </x:c>
      <x:c r="AE173" s="28" t="n">
        <x:f>IF(J173&lt;&gt;"",1,0)</x:f>
        <x:v>1</x:v>
      </x:c>
    </x:row>
    <x:row r="174">
      <x:c r="A174" s="23" t="str">
        <x:v>L2-143</x:v>
      </x:c>
      <x:c r="B174" s="23" t="str">
        <x:v>Level 2</x:v>
      </x:c>
      <x:c r="C174" s="23" t="str">
        <x:v>Doctor &amp; Patient Portals</x:v>
      </x:c>
      <x:c r="D174" s="23" t="str"/>
      <x:c r="E174" s="23" t="str">
        <x:v>Doctor owned referral</x:v>
      </x:c>
      <x:c r="F174" s="23" t="str">
        <x:v>Functional</x:v>
      </x:c>
      <x:c r="G174" s="23" t="str">
        <x:v>Portal User</x:v>
      </x:c>
      <x:c r="H174" s="23" t="str">
        <x:v>Medium</x:v>
      </x:c>
      <x:c r="I174" s="23" t="str">
        <x:v>No</x:v>
      </x:c>
      <x:c r="J174" s="23" t="str"/>
      <x:c r="K174" s="23" t="str">
        <x:v>Required master data and user exist.</x:v>
      </x:c>
      <x:c r="L174" s="23" t="str">
        <x:v>Use dedicated non-production test data.</x:v>
      </x:c>
      <x:c r="M174" s="23" t="str">
        <x:v>1. Sign in as Portal User. 2. Open a patient referred to the signed-in doctor. 3. Save or submit. 4. Refresh or reopen the record. 5. Compare the result with the pass condition.</x:v>
      </x:c>
      <x:c r="N174" s="23" t="str">
        <x:v>Owned patient data and Released reports are visible.</x:v>
      </x:c>
      <x:c r="O174" s="26" t="str">
        <x:v>Not Run</x:v>
      </x:c>
      <x:c r="P174" s="26" t="str"/>
      <x:c r="Q174" s="26" t="str"/>
      <x:c r="R174" s="26" t="str"/>
      <x:c r="S174" s="26" t="str"/>
      <x:c r="T174" s="26" t="str"/>
      <x:c r="U174" s="26" t="str">
        <x:v>QA</x:v>
      </x:c>
      <x:c r="V174" s="26" t="str"/>
      <x:c r="W174" s="29" t="str"/>
      <x:c r="X174" s="26" t="str"/>
      <x:c r="Y174" s="26" t="str">
        <x:v>Not Required</x:v>
      </x:c>
      <x:c r="Z174" s="26" t="str"/>
      <x:c r="AA174" s="28" t="n">
        <x:f>IF(OR(O174="Passed",O174="Failed",O174="Blocked"),1,0)</x:f>
        <x:v>0</x:v>
      </x:c>
      <x:c r="AB174" s="28" t="n">
        <x:f>IF(O174="Passed",1,0)</x:f>
        <x:v>0</x:v>
      </x:c>
      <x:c r="AC174" s="28" t="n">
        <x:f>IF(AND(OR(R174="Critical",R174="High"),OR(O174="Failed",O174="Blocked"),S174&lt;&gt;"Closed",S174&lt;&gt;"Rejected"),1,0)</x:f>
        <x:v>0</x:v>
      </x:c>
      <x:c r="AD174" s="28" t="n">
        <x:f>IF(X174&lt;&gt;"",1,0)</x:f>
        <x:v>0</x:v>
      </x:c>
      <x:c r="AE174" s="28" t="n">
        <x:f>IF(J174&lt;&gt;"",1,0)</x:f>
        <x:v>0</x:v>
      </x:c>
    </x:row>
    <x:row r="175">
      <x:c r="A175" s="23" t="str">
        <x:v>L2-144</x:v>
      </x:c>
      <x:c r="B175" s="23" t="str">
        <x:v>Level 2</x:v>
      </x:c>
      <x:c r="C175" s="23" t="str">
        <x:v>Doctor &amp; Patient Portals</x:v>
      </x:c>
      <x:c r="D175" s="23" t="str"/>
      <x:c r="E175" s="23" t="str">
        <x:v>Doctor non-owned referral</x:v>
      </x:c>
      <x:c r="F175" s="23" t="str">
        <x:v>Security</x:v>
      </x:c>
      <x:c r="G175" s="23" t="str">
        <x:v>Portal User</x:v>
      </x:c>
      <x:c r="H175" s="23" t="str">
        <x:v>Critical</x:v>
      </x:c>
      <x:c r="I175" s="23" t="str">
        <x:v>Yes</x:v>
      </x:c>
      <x:c r="J175" s="23" t="str"/>
      <x:c r="K175" s="23" t="str">
        <x:v>Required master data and user exist.</x:v>
      </x:c>
      <x:c r="L175" s="23" t="str">
        <x:v>Use dedicated non-production test data.</x:v>
      </x:c>
      <x:c r="M175" s="23" t="str">
        <x:v>1. Sign in as Portal User. 2. Request another doctor's patient ID. 3. Save or submit. 4. Refresh or reopen the record. 5. Compare the result with the pass condition.</x:v>
      </x:c>
      <x:c r="N175" s="23" t="str">
        <x:v>Not found/denied without existence disclosure.</x:v>
      </x:c>
      <x:c r="O175" s="26" t="str">
        <x:v>Not Run</x:v>
      </x:c>
      <x:c r="P175" s="26" t="str"/>
      <x:c r="Q175" s="26" t="str"/>
      <x:c r="R175" s="26" t="str"/>
      <x:c r="S175" s="26" t="str"/>
      <x:c r="T175" s="26" t="str"/>
      <x:c r="U175" s="26" t="str">
        <x:v>QA</x:v>
      </x:c>
      <x:c r="V175" s="26" t="str"/>
      <x:c r="W175" s="29" t="str"/>
      <x:c r="X175" s="26" t="str"/>
      <x:c r="Y175" s="26" t="str">
        <x:v>Not Required</x:v>
      </x:c>
      <x:c r="Z175" s="26" t="str"/>
      <x:c r="AA175" s="28" t="n">
        <x:f>IF(OR(O175="Passed",O175="Failed",O175="Blocked"),1,0)</x:f>
        <x:v>0</x:v>
      </x:c>
      <x:c r="AB175" s="28" t="n">
        <x:f>IF(O175="Passed",1,0)</x:f>
        <x:v>0</x:v>
      </x:c>
      <x:c r="AC175" s="28" t="n">
        <x:f>IF(AND(OR(R175="Critical",R175="High"),OR(O175="Failed",O175="Blocked"),S175&lt;&gt;"Closed",S175&lt;&gt;"Rejected"),1,0)</x:f>
        <x:v>0</x:v>
      </x:c>
      <x:c r="AD175" s="28" t="n">
        <x:f>IF(X175&lt;&gt;"",1,0)</x:f>
        <x:v>0</x:v>
      </x:c>
      <x:c r="AE175" s="28" t="n">
        <x:f>IF(J175&lt;&gt;"",1,0)</x:f>
        <x:v>0</x:v>
      </x:c>
    </x:row>
    <x:row r="176">
      <x:c r="A176" s="23" t="str">
        <x:v>L2-145</x:v>
      </x:c>
      <x:c r="B176" s="23" t="str">
        <x:v>Level 2</x:v>
      </x:c>
      <x:c r="C176" s="23" t="str">
        <x:v>Doctor &amp; Patient Portals</x:v>
      </x:c>
      <x:c r="D176" s="23" t="str"/>
      <x:c r="E176" s="23" t="str">
        <x:v>Doctor draft report</x:v>
      </x:c>
      <x:c r="F176" s="23" t="str">
        <x:v>Functional</x:v>
      </x:c>
      <x:c r="G176" s="23" t="str">
        <x:v>Portal User</x:v>
      </x:c>
      <x:c r="H176" s="23" t="str">
        <x:v>Medium</x:v>
      </x:c>
      <x:c r="I176" s="23" t="str">
        <x:v>No</x:v>
      </x:c>
      <x:c r="J176" s="23" t="str"/>
      <x:c r="K176" s="23" t="str">
        <x:v>Required master data and user exist.</x:v>
      </x:c>
      <x:c r="L176" s="23" t="str">
        <x:v>Use dedicated non-production test data.</x:v>
      </x:c>
      <x:c r="M176" s="23" t="str">
        <x:v>1. Sign in as Portal User. 2. Request Draft/Reviewed/Approved report IDs. 3. Save or submit. 4. Refresh or reopen the record. 5. Compare the result with the pass condition.</x:v>
      </x:c>
      <x:c r="N176" s="23" t="str">
        <x:v>All are hidden.</x:v>
      </x:c>
      <x:c r="O176" s="26" t="str">
        <x:v>Not Run</x:v>
      </x:c>
      <x:c r="P176" s="26" t="str"/>
      <x:c r="Q176" s="26" t="str"/>
      <x:c r="R176" s="26" t="str"/>
      <x:c r="S176" s="26" t="str"/>
      <x:c r="T176" s="26" t="str"/>
      <x:c r="U176" s="26" t="str">
        <x:v>QA</x:v>
      </x:c>
      <x:c r="V176" s="26" t="str"/>
      <x:c r="W176" s="29" t="str"/>
      <x:c r="X176" s="26" t="str"/>
      <x:c r="Y176" s="26" t="str">
        <x:v>Not Required</x:v>
      </x:c>
      <x:c r="Z176" s="26" t="str"/>
      <x:c r="AA176" s="28" t="n">
        <x:f>IF(OR(O176="Passed",O176="Failed",O176="Blocked"),1,0)</x:f>
        <x:v>0</x:v>
      </x:c>
      <x:c r="AB176" s="28" t="n">
        <x:f>IF(O176="Passed",1,0)</x:f>
        <x:v>0</x:v>
      </x:c>
      <x:c r="AC176" s="28" t="n">
        <x:f>IF(AND(OR(R176="Critical",R176="High"),OR(O176="Failed",O176="Blocked"),S176&lt;&gt;"Closed",S176&lt;&gt;"Rejected"),1,0)</x:f>
        <x:v>0</x:v>
      </x:c>
      <x:c r="AD176" s="28" t="n">
        <x:f>IF(X176&lt;&gt;"",1,0)</x:f>
        <x:v>0</x:v>
      </x:c>
      <x:c r="AE176" s="28" t="n">
        <x:f>IF(J176&lt;&gt;"",1,0)</x:f>
        <x:v>0</x:v>
      </x:c>
    </x:row>
    <x:row r="177">
      <x:c r="A177" s="23" t="str">
        <x:v>L2-146</x:v>
      </x:c>
      <x:c r="B177" s="23" t="str">
        <x:v>Level 2</x:v>
      </x:c>
      <x:c r="C177" s="23" t="str">
        <x:v>Doctor &amp; Patient Portals</x:v>
      </x:c>
      <x:c r="D177" s="23" t="str"/>
      <x:c r="E177" s="23" t="str">
        <x:v>Doctor profile edit</x:v>
      </x:c>
      <x:c r="F177" s="23" t="str">
        <x:v>Functional</x:v>
      </x:c>
      <x:c r="G177" s="23" t="str">
        <x:v>Portal User</x:v>
      </x:c>
      <x:c r="H177" s="23" t="str">
        <x:v>Medium</x:v>
      </x:c>
      <x:c r="I177" s="23" t="str">
        <x:v>No</x:v>
      </x:c>
      <x:c r="J177" s="23" t="str"/>
      <x:c r="K177" s="23" t="str">
        <x:v>Required master data and user exist.</x:v>
      </x:c>
      <x:c r="L177" s="23" t="str">
        <x:v>Use dedicated non-production test data.</x:v>
      </x:c>
      <x:c r="M177" s="23" t="str">
        <x:v>1. Sign in as Portal User. 2. Edit permitted and restricted doctor fields. 3. Save or submit. 4. Refresh or reopen the record. 5. Compare the result with the pass condition.</x:v>
      </x:c>
      <x:c r="N177" s="23" t="str">
        <x:v>Only allowed fields change.</x:v>
      </x:c>
      <x:c r="O177" s="26" t="str">
        <x:v>Not Run</x:v>
      </x:c>
      <x:c r="P177" s="26" t="str"/>
      <x:c r="Q177" s="26" t="str"/>
      <x:c r="R177" s="26" t="str"/>
      <x:c r="S177" s="26" t="str"/>
      <x:c r="T177" s="26" t="str"/>
      <x:c r="U177" s="26" t="str">
        <x:v>QA</x:v>
      </x:c>
      <x:c r="V177" s="26" t="str"/>
      <x:c r="W177" s="29" t="str"/>
      <x:c r="X177" s="26" t="str"/>
      <x:c r="Y177" s="26" t="str">
        <x:v>Not Required</x:v>
      </x:c>
      <x:c r="Z177" s="26" t="str"/>
      <x:c r="AA177" s="28" t="n">
        <x:f>IF(OR(O177="Passed",O177="Failed",O177="Blocked"),1,0)</x:f>
        <x:v>0</x:v>
      </x:c>
      <x:c r="AB177" s="28" t="n">
        <x:f>IF(O177="Passed",1,0)</x:f>
        <x:v>0</x:v>
      </x:c>
      <x:c r="AC177" s="28" t="n">
        <x:f>IF(AND(OR(R177="Critical",R177="High"),OR(O177="Failed",O177="Blocked"),S177&lt;&gt;"Closed",S177&lt;&gt;"Rejected"),1,0)</x:f>
        <x:v>0</x:v>
      </x:c>
      <x:c r="AD177" s="28" t="n">
        <x:f>IF(X177&lt;&gt;"",1,0)</x:f>
        <x:v>0</x:v>
      </x:c>
      <x:c r="AE177" s="28" t="n">
        <x:f>IF(J177&lt;&gt;"",1,0)</x:f>
        <x:v>0</x:v>
      </x:c>
    </x:row>
    <x:row r="178">
      <x:c r="A178" s="23" t="str">
        <x:v>L2-147</x:v>
      </x:c>
      <x:c r="B178" s="23" t="str">
        <x:v>Level 2</x:v>
      </x:c>
      <x:c r="C178" s="23" t="str">
        <x:v>Doctor &amp; Patient Portals</x:v>
      </x:c>
      <x:c r="D178" s="23" t="str"/>
      <x:c r="E178" s="23" t="str">
        <x:v>Investor access</x:v>
      </x:c>
      <x:c r="F178" s="23" t="str">
        <x:v>Functional</x:v>
      </x:c>
      <x:c r="G178" s="23" t="str">
        <x:v>Portal User</x:v>
      </x:c>
      <x:c r="H178" s="23" t="str">
        <x:v>Critical</x:v>
      </x:c>
      <x:c r="I178" s="23" t="str">
        <x:v>Yes</x:v>
      </x:c>
      <x:c r="J178" s="23" t="str">
        <x:v>Investor privacy and scope decision</x:v>
      </x:c>
      <x:c r="K178" s="23" t="str">
        <x:v>Required master data and user exist.</x:v>
      </x:c>
      <x:c r="L178" s="23" t="str">
        <x:v>Use dedicated non-production test data.</x:v>
      </x:c>
      <x:c r="M178" s="23" t="str">
        <x:v>1. Sign in as Portal User. 2. Open investor-only analytics, patients, bills and accounts. 3. Save or submit. 4. Refresh or reopen the record. 5. Compare the result with the pass condition.</x:v>
      </x:c>
      <x:c r="N178" s="23" t="str">
        <x:v>Only approved Investor role/plan can access.</x:v>
      </x:c>
      <x:c r="O178" s="26" t="str">
        <x:v>Not Run</x:v>
      </x:c>
      <x:c r="P178" s="26" t="str"/>
      <x:c r="Q178" s="26" t="str"/>
      <x:c r="R178" s="26" t="str"/>
      <x:c r="S178" s="26" t="str"/>
      <x:c r="T178" s="26" t="str"/>
      <x:c r="U178" s="26" t="str">
        <x:v>QA</x:v>
      </x:c>
      <x:c r="V178" s="26" t="str"/>
      <x:c r="W178" s="29" t="str"/>
      <x:c r="X178" s="26" t="str"/>
      <x:c r="Y178" s="26" t="str">
        <x:v>Not Required</x:v>
      </x:c>
      <x:c r="Z178" s="26" t="str"/>
      <x:c r="AA178" s="28" t="n">
        <x:f>IF(OR(O178="Passed",O178="Failed",O178="Blocked"),1,0)</x:f>
        <x:v>0</x:v>
      </x:c>
      <x:c r="AB178" s="28" t="n">
        <x:f>IF(O178="Passed",1,0)</x:f>
        <x:v>0</x:v>
      </x:c>
      <x:c r="AC178" s="28" t="n">
        <x:f>IF(AND(OR(R178="Critical",R178="High"),OR(O178="Failed",O178="Blocked"),S178&lt;&gt;"Closed",S178&lt;&gt;"Rejected"),1,0)</x:f>
        <x:v>0</x:v>
      </x:c>
      <x:c r="AD178" s="28" t="n">
        <x:f>IF(X178&lt;&gt;"",1,0)</x:f>
        <x:v>0</x:v>
      </x:c>
      <x:c r="AE178" s="28" t="n">
        <x:f>IF(J178&lt;&gt;"",1,0)</x:f>
        <x:v>1</x:v>
      </x:c>
    </x:row>
    <x:row r="179">
      <x:c r="A179" s="23" t="str">
        <x:v>L2-148</x:v>
      </x:c>
      <x:c r="B179" s="23" t="str">
        <x:v>Level 2</x:v>
      </x:c>
      <x:c r="C179" s="23" t="str">
        <x:v>Doctor &amp; Patient Portals</x:v>
      </x:c>
      <x:c r="D179" s="23" t="str"/>
      <x:c r="E179" s="23" t="str">
        <x:v>Doctor-created request</x:v>
      </x:c>
      <x:c r="F179" s="23" t="str">
        <x:v>Functional</x:v>
      </x:c>
      <x:c r="G179" s="23" t="str">
        <x:v>Portal User</x:v>
      </x:c>
      <x:c r="H179" s="23" t="str">
        <x:v>Medium</x:v>
      </x:c>
      <x:c r="I179" s="23" t="str">
        <x:v>No</x:v>
      </x:c>
      <x:c r="J179" s="23" t="str"/>
      <x:c r="K179" s="23" t="str">
        <x:v>Required master data and user exist.</x:v>
      </x:c>
      <x:c r="L179" s="23" t="str">
        <x:v>Use dedicated non-production test data.</x:v>
      </x:c>
      <x:c r="M179" s="23" t="str">
        <x:v>1. Sign in as Portal User. 2. Create patient/test request from doctor portal. 3. Save or submit. 4. Refresh or reopen the record. 5. Compare the result with the pass condition.</x:v>
      </x:c>
      <x:c r="N179" s="23" t="str">
        <x:v>Request enters the correct lab work queue without bypassing staff controls.</x:v>
      </x:c>
      <x:c r="O179" s="26" t="str">
        <x:v>Not Run</x:v>
      </x:c>
      <x:c r="P179" s="26" t="str"/>
      <x:c r="Q179" s="26" t="str"/>
      <x:c r="R179" s="26" t="str"/>
      <x:c r="S179" s="26" t="str"/>
      <x:c r="T179" s="26" t="str"/>
      <x:c r="U179" s="26" t="str">
        <x:v>QA</x:v>
      </x:c>
      <x:c r="V179" s="26" t="str"/>
      <x:c r="W179" s="29" t="str"/>
      <x:c r="X179" s="26" t="str"/>
      <x:c r="Y179" s="26" t="str">
        <x:v>Not Required</x:v>
      </x:c>
      <x:c r="Z179" s="26" t="str"/>
      <x:c r="AA179" s="28" t="n">
        <x:f>IF(OR(O179="Passed",O179="Failed",O179="Blocked"),1,0)</x:f>
        <x:v>0</x:v>
      </x:c>
      <x:c r="AB179" s="28" t="n">
        <x:f>IF(O179="Passed",1,0)</x:f>
        <x:v>0</x:v>
      </x:c>
      <x:c r="AC179" s="28" t="n">
        <x:f>IF(AND(OR(R179="Critical",R179="High"),OR(O179="Failed",O179="Blocked"),S179&lt;&gt;"Closed",S179&lt;&gt;"Rejected"),1,0)</x:f>
        <x:v>0</x:v>
      </x:c>
      <x:c r="AD179" s="28" t="n">
        <x:f>IF(X179&lt;&gt;"",1,0)</x:f>
        <x:v>0</x:v>
      </x:c>
      <x:c r="AE179" s="28" t="n">
        <x:f>IF(J179&lt;&gt;"",1,0)</x:f>
        <x:v>0</x:v>
      </x:c>
    </x:row>
    <x:row r="180">
      <x:c r="A180" s="23" t="str">
        <x:v>L2-149</x:v>
      </x:c>
      <x:c r="B180" s="23" t="str">
        <x:v>Level 2</x:v>
      </x:c>
      <x:c r="C180" s="23" t="str">
        <x:v>Doctor &amp; Patient Portals</x:v>
      </x:c>
      <x:c r="D180" s="23" t="str"/>
      <x:c r="E180" s="23" t="str">
        <x:v>Patient activation</x:v>
      </x:c>
      <x:c r="F180" s="23" t="str">
        <x:v>Functional</x:v>
      </x:c>
      <x:c r="G180" s="23" t="str">
        <x:v>Portal User</x:v>
      </x:c>
      <x:c r="H180" s="23" t="str">
        <x:v>Medium</x:v>
      </x:c>
      <x:c r="I180" s="23" t="str">
        <x:v>No</x:v>
      </x:c>
      <x:c r="J180" s="23" t="str"/>
      <x:c r="K180" s="23" t="str">
        <x:v>Required master data and user exist.</x:v>
      </x:c>
      <x:c r="L180" s="23" t="str">
        <x:v>Use dedicated non-production test data.</x:v>
      </x:c>
      <x:c r="M180" s="23" t="str">
        <x:v>1. Sign in as Portal User. 2. Activate QR/PIN with correct token, access PIN and DOB. 3. Save or submit. 4. Refresh or reopen the record. 5. Compare the result with the pass condition.</x:v>
      </x:c>
      <x:c r="N180" s="23" t="str">
        <x:v>One-time credentials are cleared and session is created.</x:v>
      </x:c>
      <x:c r="O180" s="26" t="str">
        <x:v>Not Run</x:v>
      </x:c>
      <x:c r="P180" s="26" t="str"/>
      <x:c r="Q180" s="26" t="str"/>
      <x:c r="R180" s="26" t="str"/>
      <x:c r="S180" s="26" t="str"/>
      <x:c r="T180" s="26" t="str"/>
      <x:c r="U180" s="26" t="str">
        <x:v>QA</x:v>
      </x:c>
      <x:c r="V180" s="26" t="str"/>
      <x:c r="W180" s="29" t="str"/>
      <x:c r="X180" s="26" t="str"/>
      <x:c r="Y180" s="26" t="str">
        <x:v>Not Required</x:v>
      </x:c>
      <x:c r="Z180" s="26" t="str"/>
      <x:c r="AA180" s="28" t="n">
        <x:f>IF(OR(O180="Passed",O180="Failed",O180="Blocked"),1,0)</x:f>
        <x:v>0</x:v>
      </x:c>
      <x:c r="AB180" s="28" t="n">
        <x:f>IF(O180="Passed",1,0)</x:f>
        <x:v>0</x:v>
      </x:c>
      <x:c r="AC180" s="28" t="n">
        <x:f>IF(AND(OR(R180="Critical",R180="High"),OR(O180="Failed",O180="Blocked"),S180&lt;&gt;"Closed",S180&lt;&gt;"Rejected"),1,0)</x:f>
        <x:v>0</x:v>
      </x:c>
      <x:c r="AD180" s="28" t="n">
        <x:f>IF(X180&lt;&gt;"",1,0)</x:f>
        <x:v>0</x:v>
      </x:c>
      <x:c r="AE180" s="28" t="n">
        <x:f>IF(J180&lt;&gt;"",1,0)</x:f>
        <x:v>0</x:v>
      </x:c>
    </x:row>
    <x:row r="181">
      <x:c r="A181" s="23" t="str">
        <x:v>L2-150</x:v>
      </x:c>
      <x:c r="B181" s="23" t="str">
        <x:v>Level 2</x:v>
      </x:c>
      <x:c r="C181" s="23" t="str">
        <x:v>Doctor &amp; Patient Portals</x:v>
      </x:c>
      <x:c r="D181" s="23" t="str"/>
      <x:c r="E181" s="23" t="str">
        <x:v>Wrong patient DOB/PIN</x:v>
      </x:c>
      <x:c r="F181" s="23" t="str">
        <x:v>Functional</x:v>
      </x:c>
      <x:c r="G181" s="23" t="str">
        <x:v>Portal User</x:v>
      </x:c>
      <x:c r="H181" s="23" t="str">
        <x:v>Medium</x:v>
      </x:c>
      <x:c r="I181" s="23" t="str">
        <x:v>No</x:v>
      </x:c>
      <x:c r="J181" s="23" t="str"/>
      <x:c r="K181" s="23" t="str">
        <x:v>Required master data and user exist.</x:v>
      </x:c>
      <x:c r="L181" s="23" t="str">
        <x:v>Use dedicated non-production test data.</x:v>
      </x:c>
      <x:c r="M181" s="23" t="str">
        <x:v>1. Sign in as Portal User. 2. Use wrong DOB or PIN repeatedly. 3. Save or submit. 4. Refresh or reopen the record. 5. Compare the result with the pass condition.</x:v>
      </x:c>
      <x:c r="N181" s="23" t="str">
        <x:v>Access is denied and lockout applies.</x:v>
      </x:c>
      <x:c r="O181" s="26" t="str">
        <x:v>Not Run</x:v>
      </x:c>
      <x:c r="P181" s="26" t="str"/>
      <x:c r="Q181" s="26" t="str"/>
      <x:c r="R181" s="26" t="str"/>
      <x:c r="S181" s="26" t="str"/>
      <x:c r="T181" s="26" t="str"/>
      <x:c r="U181" s="26" t="str">
        <x:v>QA</x:v>
      </x:c>
      <x:c r="V181" s="26" t="str"/>
      <x:c r="W181" s="29" t="str"/>
      <x:c r="X181" s="26" t="str"/>
      <x:c r="Y181" s="26" t="str">
        <x:v>Not Required</x:v>
      </x:c>
      <x:c r="Z181" s="26" t="str"/>
      <x:c r="AA181" s="28" t="n">
        <x:f>IF(OR(O181="Passed",O181="Failed",O181="Blocked"),1,0)</x:f>
        <x:v>0</x:v>
      </x:c>
      <x:c r="AB181" s="28" t="n">
        <x:f>IF(O181="Passed",1,0)</x:f>
        <x:v>0</x:v>
      </x:c>
      <x:c r="AC181" s="28" t="n">
        <x:f>IF(AND(OR(R181="Critical",R181="High"),OR(O181="Failed",O181="Blocked"),S181&lt;&gt;"Closed",S181&lt;&gt;"Rejected"),1,0)</x:f>
        <x:v>0</x:v>
      </x:c>
      <x:c r="AD181" s="28" t="n">
        <x:f>IF(X181&lt;&gt;"",1,0)</x:f>
        <x:v>0</x:v>
      </x:c>
      <x:c r="AE181" s="28" t="n">
        <x:f>IF(J181&lt;&gt;"",1,0)</x:f>
        <x:v>0</x:v>
      </x:c>
    </x:row>
    <x:row r="182">
      <x:c r="A182" s="23" t="str">
        <x:v>L2-151</x:v>
      </x:c>
      <x:c r="B182" s="23" t="str">
        <x:v>Level 2</x:v>
      </x:c>
      <x:c r="C182" s="23" t="str">
        <x:v>Doctor &amp; Patient Portals</x:v>
      </x:c>
      <x:c r="D182" s="23" t="str"/>
      <x:c r="E182" s="23" t="str">
        <x:v>Patient cross-record</x:v>
      </x:c>
      <x:c r="F182" s="23" t="str">
        <x:v>Security</x:v>
      </x:c>
      <x:c r="G182" s="23" t="str">
        <x:v>Portal User</x:v>
      </x:c>
      <x:c r="H182" s="23" t="str">
        <x:v>Critical</x:v>
      </x:c>
      <x:c r="I182" s="23" t="str">
        <x:v>Yes</x:v>
      </x:c>
      <x:c r="J182" s="23" t="str"/>
      <x:c r="K182" s="23" t="str">
        <x:v>Required master data and user exist.</x:v>
      </x:c>
      <x:c r="L182" s="23" t="str">
        <x:v>Use dedicated non-production test data.</x:v>
      </x:c>
      <x:c r="M182" s="23" t="str">
        <x:v>1. Sign in as Portal User. 2. Request another patient's bill/report ID. 3. Save or submit. 4. Refresh or reopen the record. 5. Compare the result with the pass condition.</x:v>
      </x:c>
      <x:c r="N182" s="23" t="str">
        <x:v>Denied with no data leakage.</x:v>
      </x:c>
      <x:c r="O182" s="26" t="str">
        <x:v>Not Run</x:v>
      </x:c>
      <x:c r="P182" s="26" t="str"/>
      <x:c r="Q182" s="26" t="str"/>
      <x:c r="R182" s="26" t="str"/>
      <x:c r="S182" s="26" t="str"/>
      <x:c r="T182" s="26" t="str"/>
      <x:c r="U182" s="26" t="str">
        <x:v>QA</x:v>
      </x:c>
      <x:c r="V182" s="26" t="str"/>
      <x:c r="W182" s="29" t="str"/>
      <x:c r="X182" s="26" t="str"/>
      <x:c r="Y182" s="26" t="str">
        <x:v>Not Required</x:v>
      </x:c>
      <x:c r="Z182" s="26" t="str"/>
      <x:c r="AA182" s="28" t="n">
        <x:f>IF(OR(O182="Passed",O182="Failed",O182="Blocked"),1,0)</x:f>
        <x:v>0</x:v>
      </x:c>
      <x:c r="AB182" s="28" t="n">
        <x:f>IF(O182="Passed",1,0)</x:f>
        <x:v>0</x:v>
      </x:c>
      <x:c r="AC182" s="28" t="n">
        <x:f>IF(AND(OR(R182="Critical",R182="High"),OR(O182="Failed",O182="Blocked"),S182&lt;&gt;"Closed",S182&lt;&gt;"Rejected"),1,0)</x:f>
        <x:v>0</x:v>
      </x:c>
      <x:c r="AD182" s="28" t="n">
        <x:f>IF(X182&lt;&gt;"",1,0)</x:f>
        <x:v>0</x:v>
      </x:c>
      <x:c r="AE182" s="28" t="n">
        <x:f>IF(J182&lt;&gt;"",1,0)</x:f>
        <x:v>0</x:v>
      </x:c>
    </x:row>
    <x:row r="183">
      <x:c r="A183" s="23" t="str">
        <x:v>L2-152</x:v>
      </x:c>
      <x:c r="B183" s="23" t="str">
        <x:v>Level 2</x:v>
      </x:c>
      <x:c r="C183" s="23" t="str">
        <x:v>Doctor &amp; Patient Portals</x:v>
      </x:c>
      <x:c r="D183" s="23" t="str"/>
      <x:c r="E183" s="23" t="str">
        <x:v>Reissue patient slip</x:v>
      </x:c>
      <x:c r="F183" s="23" t="str">
        <x:v>Functional</x:v>
      </x:c>
      <x:c r="G183" s="23" t="str">
        <x:v>Portal User</x:v>
      </x:c>
      <x:c r="H183" s="23" t="str">
        <x:v>Medium</x:v>
      </x:c>
      <x:c r="I183" s="23" t="str">
        <x:v>No</x:v>
      </x:c>
      <x:c r="J183" s="23" t="str"/>
      <x:c r="K183" s="23" t="str">
        <x:v>Required master data and user exist.</x:v>
      </x:c>
      <x:c r="L183" s="23" t="str">
        <x:v>Use dedicated non-production test data.</x:v>
      </x:c>
      <x:c r="M183" s="23" t="str">
        <x:v>1. Sign in as Portal User. 2. Issue a new slip after active login. 3. Save or submit. 4. Refresh or reopen the record. 5. Compare the result with the pass condition.</x:v>
      </x:c>
      <x:c r="N183" s="23" t="str">
        <x:v>Old credentials and sessions are invalidated.</x:v>
      </x:c>
      <x:c r="O183" s="26" t="str">
        <x:v>Not Run</x:v>
      </x:c>
      <x:c r="P183" s="26" t="str"/>
      <x:c r="Q183" s="26" t="str"/>
      <x:c r="R183" s="26" t="str"/>
      <x:c r="S183" s="26" t="str"/>
      <x:c r="T183" s="26" t="str"/>
      <x:c r="U183" s="26" t="str">
        <x:v>QA</x:v>
      </x:c>
      <x:c r="V183" s="26" t="str"/>
      <x:c r="W183" s="29" t="str"/>
      <x:c r="X183" s="26" t="str"/>
      <x:c r="Y183" s="26" t="str">
        <x:v>Not Required</x:v>
      </x:c>
      <x:c r="Z183" s="26" t="str"/>
      <x:c r="AA183" s="28" t="n">
        <x:f>IF(OR(O183="Passed",O183="Failed",O183="Blocked"),1,0)</x:f>
        <x:v>0</x:v>
      </x:c>
      <x:c r="AB183" s="28" t="n">
        <x:f>IF(O183="Passed",1,0)</x:f>
        <x:v>0</x:v>
      </x:c>
      <x:c r="AC183" s="28" t="n">
        <x:f>IF(AND(OR(R183="Critical",R183="High"),OR(O183="Failed",O183="Blocked"),S183&lt;&gt;"Closed",S183&lt;&gt;"Rejected"),1,0)</x:f>
        <x:v>0</x:v>
      </x:c>
      <x:c r="AD183" s="28" t="n">
        <x:f>IF(X183&lt;&gt;"",1,0)</x:f>
        <x:v>0</x:v>
      </x:c>
      <x:c r="AE183" s="28" t="n">
        <x:f>IF(J183&lt;&gt;"",1,0)</x:f>
        <x:v>0</x:v>
      </x:c>
    </x:row>
    <x:row r="184">
      <x:c r="A184" s="23" t="str">
        <x:v>L2-153</x:v>
      </x:c>
      <x:c r="B184" s="23" t="str">
        <x:v>Level 2</x:v>
      </x:c>
      <x:c r="C184" s="23" t="str">
        <x:v>Doctor &amp; Patient Portals</x:v>
      </x:c>
      <x:c r="D184" s="23" t="str"/>
      <x:c r="E184" s="23" t="str">
        <x:v>Patient data minimization</x:v>
      </x:c>
      <x:c r="F184" s="23" t="str">
        <x:v>Privacy</x:v>
      </x:c>
      <x:c r="G184" s="23" t="str">
        <x:v>Portal User</x:v>
      </x:c>
      <x:c r="H184" s="23" t="str">
        <x:v>Critical</x:v>
      </x:c>
      <x:c r="I184" s="23" t="str">
        <x:v>Yes</x:v>
      </x:c>
      <x:c r="J184" s="23" t="str"/>
      <x:c r="K184" s="23" t="str">
        <x:v>Required master data and user exist.</x:v>
      </x:c>
      <x:c r="L184" s="23" t="str">
        <x:v>Use dedicated non-production test data.</x:v>
      </x:c>
      <x:c r="M184" s="23" t="str">
        <x:v>1. Sign in as Portal User. 2. Inspect patient portal response. 3. Save or submit. 4. Refresh or reopen the record. 5. Compare the result with the pass condition.</x:v>
      </x:c>
      <x:c r="N184" s="23" t="str">
        <x:v>No commission, journal, staff, draft or version-history fields appear.</x:v>
      </x:c>
      <x:c r="O184" s="26" t="str">
        <x:v>Not Run</x:v>
      </x:c>
      <x:c r="P184" s="26" t="str"/>
      <x:c r="Q184" s="26" t="str"/>
      <x:c r="R184" s="26" t="str"/>
      <x:c r="S184" s="26" t="str"/>
      <x:c r="T184" s="26" t="str"/>
      <x:c r="U184" s="26" t="str">
        <x:v>QA</x:v>
      </x:c>
      <x:c r="V184" s="26" t="str"/>
      <x:c r="W184" s="29" t="str"/>
      <x:c r="X184" s="26" t="str"/>
      <x:c r="Y184" s="26" t="str">
        <x:v>Not Required</x:v>
      </x:c>
      <x:c r="Z184" s="26" t="str"/>
      <x:c r="AA184" s="28" t="n">
        <x:f>IF(OR(O184="Passed",O184="Failed",O184="Blocked"),1,0)</x:f>
        <x:v>0</x:v>
      </x:c>
      <x:c r="AB184" s="28" t="n">
        <x:f>IF(O184="Passed",1,0)</x:f>
        <x:v>0</x:v>
      </x:c>
      <x:c r="AC184" s="28" t="n">
        <x:f>IF(AND(OR(R184="Critical",R184="High"),OR(O184="Failed",O184="Blocked"),S184&lt;&gt;"Closed",S184&lt;&gt;"Rejected"),1,0)</x:f>
        <x:v>0</x:v>
      </x:c>
      <x:c r="AD184" s="28" t="n">
        <x:f>IF(X184&lt;&gt;"",1,0)</x:f>
        <x:v>0</x:v>
      </x:c>
      <x:c r="AE184" s="28" t="n">
        <x:f>IF(J184&lt;&gt;"",1,0)</x:f>
        <x:v>0</x:v>
      </x:c>
    </x:row>
    <x:row r="185">
      <x:c r="A185" s="23" t="str">
        <x:v>L2-154</x:v>
      </x:c>
      <x:c r="B185" s="23" t="str">
        <x:v>Level 2</x:v>
      </x:c>
      <x:c r="C185" s="23" t="str">
        <x:v>Doctor &amp; Patient Portals</x:v>
      </x:c>
      <x:c r="D185" s="23" t="str"/>
      <x:c r="E185" s="23" t="str">
        <x:v>No-store/no-index</x:v>
      </x:c>
      <x:c r="F185" s="23" t="str">
        <x:v>Functional</x:v>
      </x:c>
      <x:c r="G185" s="23" t="str">
        <x:v>Portal User</x:v>
      </x:c>
      <x:c r="H185" s="23" t="str">
        <x:v>Medium</x:v>
      </x:c>
      <x:c r="I185" s="23" t="str">
        <x:v>No</x:v>
      </x:c>
      <x:c r="J185" s="23" t="str"/>
      <x:c r="K185" s="23" t="str">
        <x:v>Required master data and user exist.</x:v>
      </x:c>
      <x:c r="L185" s="23" t="str">
        <x:v>Use dedicated non-production test data.</x:v>
      </x:c>
      <x:c r="M185" s="23" t="str">
        <x:v>1. Sign in as Portal User. 2. Inspect patient portal response headers and page metadata. 3. Save or submit. 4. Refresh or reopen the record. 5. Compare the result with the pass condition.</x:v>
      </x:c>
      <x:c r="N185" s="23" t="str">
        <x:v>Private no-store and no-index controls are present.</x:v>
      </x:c>
      <x:c r="O185" s="26" t="str">
        <x:v>Not Run</x:v>
      </x:c>
      <x:c r="P185" s="26" t="str"/>
      <x:c r="Q185" s="26" t="str"/>
      <x:c r="R185" s="26" t="str"/>
      <x:c r="S185" s="26" t="str"/>
      <x:c r="T185" s="26" t="str"/>
      <x:c r="U185" s="26" t="str">
        <x:v>QA</x:v>
      </x:c>
      <x:c r="V185" s="26" t="str"/>
      <x:c r="W185" s="29" t="str"/>
      <x:c r="X185" s="26" t="str"/>
      <x:c r="Y185" s="26" t="str">
        <x:v>Not Required</x:v>
      </x:c>
      <x:c r="Z185" s="26" t="str"/>
      <x:c r="AA185" s="28" t="n">
        <x:f>IF(OR(O185="Passed",O185="Failed",O185="Blocked"),1,0)</x:f>
        <x:v>0</x:v>
      </x:c>
      <x:c r="AB185" s="28" t="n">
        <x:f>IF(O185="Passed",1,0)</x:f>
        <x:v>0</x:v>
      </x:c>
      <x:c r="AC185" s="28" t="n">
        <x:f>IF(AND(OR(R185="Critical",R185="High"),OR(O185="Failed",O185="Blocked"),S185&lt;&gt;"Closed",S185&lt;&gt;"Rejected"),1,0)</x:f>
        <x:v>0</x:v>
      </x:c>
      <x:c r="AD185" s="28" t="n">
        <x:f>IF(X185&lt;&gt;"",1,0)</x:f>
        <x:v>0</x:v>
      </x:c>
      <x:c r="AE185" s="28" t="n">
        <x:f>IF(J185&lt;&gt;"",1,0)</x:f>
        <x:v>0</x:v>
      </x:c>
    </x:row>
    <x:row r="186">
      <x:c r="A186" s="23" t="str">
        <x:v>L2-155</x:v>
      </x:c>
      <x:c r="B186" s="23" t="str">
        <x:v>Level 2</x:v>
      </x:c>
      <x:c r="C186" s="23" t="str">
        <x:v>Doctor &amp; Patient Portals</x:v>
      </x:c>
      <x:c r="D186" s="23" t="str"/>
      <x:c r="E186" s="23" t="str">
        <x:v>Portal print</x:v>
      </x:c>
      <x:c r="F186" s="23" t="str">
        <x:v>Functional</x:v>
      </x:c>
      <x:c r="G186" s="23" t="str">
        <x:v>Portal User</x:v>
      </x:c>
      <x:c r="H186" s="23" t="str">
        <x:v>Medium</x:v>
      </x:c>
      <x:c r="I186" s="23" t="str">
        <x:v>No</x:v>
      </x:c>
      <x:c r="J186" s="23" t="str"/>
      <x:c r="K186" s="23" t="str">
        <x:v>Required master data and user exist.</x:v>
      </x:c>
      <x:c r="L186" s="23" t="str">
        <x:v>Use dedicated non-production test data.</x:v>
      </x:c>
      <x:c r="M186" s="23" t="str">
        <x:v>1. Sign in as Portal User. 2. Print a Released report from patient and doctor portals. 3. Save or submit. 4. Refresh or reopen the record. 5. Compare the result with the pass condition.</x:v>
      </x:c>
      <x:c r="N186" s="23" t="str">
        <x:v>Correct report prints without hidden internal data.</x:v>
      </x:c>
      <x:c r="O186" s="26" t="str">
        <x:v>Not Run</x:v>
      </x:c>
      <x:c r="P186" s="26" t="str"/>
      <x:c r="Q186" s="26" t="str"/>
      <x:c r="R186" s="26" t="str"/>
      <x:c r="S186" s="26" t="str"/>
      <x:c r="T186" s="26" t="str"/>
      <x:c r="U186" s="26" t="str">
        <x:v>QA</x:v>
      </x:c>
      <x:c r="V186" s="26" t="str"/>
      <x:c r="W186" s="29" t="str"/>
      <x:c r="X186" s="26" t="str"/>
      <x:c r="Y186" s="26" t="str">
        <x:v>Not Required</x:v>
      </x:c>
      <x:c r="Z186" s="26" t="str"/>
      <x:c r="AA186" s="28" t="n">
        <x:f>IF(OR(O186="Passed",O186="Failed",O186="Blocked"),1,0)</x:f>
        <x:v>0</x:v>
      </x:c>
      <x:c r="AB186" s="28" t="n">
        <x:f>IF(O186="Passed",1,0)</x:f>
        <x:v>0</x:v>
      </x:c>
      <x:c r="AC186" s="28" t="n">
        <x:f>IF(AND(OR(R186="Critical",R186="High"),OR(O186="Failed",O186="Blocked"),S186&lt;&gt;"Closed",S186&lt;&gt;"Rejected"),1,0)</x:f>
        <x:v>0</x:v>
      </x:c>
      <x:c r="AD186" s="28" t="n">
        <x:f>IF(X186&lt;&gt;"",1,0)</x:f>
        <x:v>0</x:v>
      </x:c>
      <x:c r="AE186" s="28" t="n">
        <x:f>IF(J186&lt;&gt;"",1,0)</x:f>
        <x:v>0</x:v>
      </x:c>
    </x:row>
    <x:row r="187">
      <x:c r="A187" s="23" t="str">
        <x:v>L2-156</x:v>
      </x:c>
      <x:c r="B187" s="23" t="str">
        <x:v>Level 2</x:v>
      </x:c>
      <x:c r="C187" s="23" t="str">
        <x:v>Doctor &amp; Patient Portals</x:v>
      </x:c>
      <x:c r="D187" s="23" t="str"/>
      <x:c r="E187" s="23" t="str">
        <x:v>Portal audit</x:v>
      </x:c>
      <x:c r="F187" s="23" t="str">
        <x:v>Functional</x:v>
      </x:c>
      <x:c r="G187" s="23" t="str">
        <x:v>Portal User</x:v>
      </x:c>
      <x:c r="H187" s="23" t="str">
        <x:v>Medium</x:v>
      </x:c>
      <x:c r="I187" s="23" t="str">
        <x:v>No</x:v>
      </x:c>
      <x:c r="J187" s="23" t="str"/>
      <x:c r="K187" s="23" t="str">
        <x:v>Required master data and user exist.</x:v>
      </x:c>
      <x:c r="L187" s="23" t="str">
        <x:v>Use dedicated non-production test data.</x:v>
      </x:c>
      <x:c r="M187" s="23" t="str">
        <x:v>1. Sign in as Portal User. 2. Login and open a report. 3. Save or submit. 4. Refresh or reopen the record. 5. Compare the result with the pass condition.</x:v>
      </x:c>
      <x:c r="N187" s="23" t="str">
        <x:v>Portal access events are auditable.</x:v>
      </x:c>
      <x:c r="O187" s="26" t="str">
        <x:v>Not Run</x:v>
      </x:c>
      <x:c r="P187" s="26" t="str"/>
      <x:c r="Q187" s="26" t="str"/>
      <x:c r="R187" s="26" t="str"/>
      <x:c r="S187" s="26" t="str"/>
      <x:c r="T187" s="26" t="str"/>
      <x:c r="U187" s="26" t="str">
        <x:v>QA</x:v>
      </x:c>
      <x:c r="V187" s="26" t="str"/>
      <x:c r="W187" s="29" t="str"/>
      <x:c r="X187" s="26" t="str"/>
      <x:c r="Y187" s="26" t="str">
        <x:v>Not Required</x:v>
      </x:c>
      <x:c r="Z187" s="26" t="str"/>
      <x:c r="AA187" s="28" t="n">
        <x:f>IF(OR(O187="Passed",O187="Failed",O187="Blocked"),1,0)</x:f>
        <x:v>0</x:v>
      </x:c>
      <x:c r="AB187" s="28" t="n">
        <x:f>IF(O187="Passed",1,0)</x:f>
        <x:v>0</x:v>
      </x:c>
      <x:c r="AC187" s="28" t="n">
        <x:f>IF(AND(OR(R187="Critical",R187="High"),OR(O187="Failed",O187="Blocked"),S187&lt;&gt;"Closed",S187&lt;&gt;"Rejected"),1,0)</x:f>
        <x:v>0</x:v>
      </x:c>
      <x:c r="AD187" s="28" t="n">
        <x:f>IF(X187&lt;&gt;"",1,0)</x:f>
        <x:v>0</x:v>
      </x:c>
      <x:c r="AE187" s="28" t="n">
        <x:f>IF(J187&lt;&gt;"",1,0)</x:f>
        <x:v>0</x:v>
      </x:c>
    </x:row>
    <x:row r="188">
      <x:c r="A188" s="23" t="str">
        <x:v>L2-157</x:v>
      </x:c>
      <x:c r="B188" s="23" t="str">
        <x:v>Level 2</x:v>
      </x:c>
      <x:c r="C188" s="23" t="str">
        <x:v>Dashboard, Search, Notifications &amp; Analytics</x:v>
      </x:c>
      <x:c r="D188" s="23" t="str"/>
      <x:c r="E188" s="23" t="str">
        <x:v>Role-specific dashboard</x:v>
      </x:c>
      <x:c r="F188" s="23" t="str">
        <x:v>Functional</x:v>
      </x:c>
      <x:c r="G188" s="23" t="str">
        <x:v>Lab Manager</x:v>
      </x:c>
      <x:c r="H188" s="23" t="str">
        <x:v>Medium</x:v>
      </x:c>
      <x:c r="I188" s="23" t="str">
        <x:v>No</x:v>
      </x:c>
      <x:c r="J188" s="23" t="str"/>
      <x:c r="K188" s="23" t="str">
        <x:v>Required master data and user exist.</x:v>
      </x:c>
      <x:c r="L188" s="23" t="str">
        <x:v>Use dedicated non-production test data.</x:v>
      </x:c>
      <x:c r="M188" s="23" t="str">
        <x:v>1. Sign in as Lab Manager. 2. Compare cards for several roles. 3. Save or submit. 4. Refresh or reopen the record. 5. Compare the result with the pass condition.</x:v>
      </x:c>
      <x:c r="N188" s="23" t="str">
        <x:v>Each role sees permitted, tenant-correct metrics.</x:v>
      </x:c>
      <x:c r="O188" s="26" t="str">
        <x:v>Not Run</x:v>
      </x:c>
      <x:c r="P188" s="26" t="str"/>
      <x:c r="Q188" s="26" t="str"/>
      <x:c r="R188" s="26" t="str"/>
      <x:c r="S188" s="26" t="str"/>
      <x:c r="T188" s="26" t="str"/>
      <x:c r="U188" s="26" t="str">
        <x:v>QA</x:v>
      </x:c>
      <x:c r="V188" s="26" t="str"/>
      <x:c r="W188" s="29" t="str"/>
      <x:c r="X188" s="26" t="str"/>
      <x:c r="Y188" s="26" t="str">
        <x:v>Not Required</x:v>
      </x:c>
      <x:c r="Z188" s="26" t="str"/>
      <x:c r="AA188" s="28" t="n">
        <x:f>IF(OR(O188="Passed",O188="Failed",O188="Blocked"),1,0)</x:f>
        <x:v>0</x:v>
      </x:c>
      <x:c r="AB188" s="28" t="n">
        <x:f>IF(O188="Passed",1,0)</x:f>
        <x:v>0</x:v>
      </x:c>
      <x:c r="AC188" s="28" t="n">
        <x:f>IF(AND(OR(R188="Critical",R188="High"),OR(O188="Failed",O188="Blocked"),S188&lt;&gt;"Closed",S188&lt;&gt;"Rejected"),1,0)</x:f>
        <x:v>0</x:v>
      </x:c>
      <x:c r="AD188" s="28" t="n">
        <x:f>IF(X188&lt;&gt;"",1,0)</x:f>
        <x:v>0</x:v>
      </x:c>
      <x:c r="AE188" s="28" t="n">
        <x:f>IF(J188&lt;&gt;"",1,0)</x:f>
        <x:v>0</x:v>
      </x:c>
    </x:row>
    <x:row r="189">
      <x:c r="A189" s="23" t="str">
        <x:v>L2-158</x:v>
      </x:c>
      <x:c r="B189" s="23" t="str">
        <x:v>Level 2</x:v>
      </x:c>
      <x:c r="C189" s="23" t="str">
        <x:v>Dashboard, Search, Notifications &amp; Analytics</x:v>
      </x:c>
      <x:c r="D189" s="23" t="str"/>
      <x:c r="E189" s="23" t="str">
        <x:v>Empty dashboard</x:v>
      </x:c>
      <x:c r="F189" s="23" t="str">
        <x:v>Functional</x:v>
      </x:c>
      <x:c r="G189" s="23" t="str">
        <x:v>Lab Manager</x:v>
      </x:c>
      <x:c r="H189" s="23" t="str">
        <x:v>Medium</x:v>
      </x:c>
      <x:c r="I189" s="23" t="str">
        <x:v>No</x:v>
      </x:c>
      <x:c r="J189" s="23" t="str"/>
      <x:c r="K189" s="23" t="str">
        <x:v>Required master data and user exist.</x:v>
      </x:c>
      <x:c r="L189" s="23" t="str">
        <x:v>Use dedicated non-production test data.</x:v>
      </x:c>
      <x:c r="M189" s="23" t="str">
        <x:v>1. Sign in as Lab Manager. 2. Use a tenant with no data. 3. Save or submit. 4. Refresh or reopen the record. 5. Compare the result with the pass condition.</x:v>
      </x:c>
      <x:c r="N189" s="23" t="str">
        <x:v>Zero/empty state is clear and stable.</x:v>
      </x:c>
      <x:c r="O189" s="26" t="str">
        <x:v>Not Run</x:v>
      </x:c>
      <x:c r="P189" s="26" t="str"/>
      <x:c r="Q189" s="26" t="str"/>
      <x:c r="R189" s="26" t="str"/>
      <x:c r="S189" s="26" t="str"/>
      <x:c r="T189" s="26" t="str"/>
      <x:c r="U189" s="26" t="str">
        <x:v>QA</x:v>
      </x:c>
      <x:c r="V189" s="26" t="str"/>
      <x:c r="W189" s="29" t="str"/>
      <x:c r="X189" s="26" t="str"/>
      <x:c r="Y189" s="26" t="str">
        <x:v>Not Required</x:v>
      </x:c>
      <x:c r="Z189" s="26" t="str"/>
      <x:c r="AA189" s="28" t="n">
        <x:f>IF(OR(O189="Passed",O189="Failed",O189="Blocked"),1,0)</x:f>
        <x:v>0</x:v>
      </x:c>
      <x:c r="AB189" s="28" t="n">
        <x:f>IF(O189="Passed",1,0)</x:f>
        <x:v>0</x:v>
      </x:c>
      <x:c r="AC189" s="28" t="n">
        <x:f>IF(AND(OR(R189="Critical",R189="High"),OR(O189="Failed",O189="Blocked"),S189&lt;&gt;"Closed",S189&lt;&gt;"Rejected"),1,0)</x:f>
        <x:v>0</x:v>
      </x:c>
      <x:c r="AD189" s="28" t="n">
        <x:f>IF(X189&lt;&gt;"",1,0)</x:f>
        <x:v>0</x:v>
      </x:c>
      <x:c r="AE189" s="28" t="n">
        <x:f>IF(J189&lt;&gt;"",1,0)</x:f>
        <x:v>0</x:v>
      </x:c>
    </x:row>
    <x:row r="190">
      <x:c r="A190" s="23" t="str">
        <x:v>L2-159</x:v>
      </x:c>
      <x:c r="B190" s="23" t="str">
        <x:v>Level 2</x:v>
      </x:c>
      <x:c r="C190" s="23" t="str">
        <x:v>Dashboard, Search, Notifications &amp; Analytics</x:v>
      </x:c>
      <x:c r="D190" s="23" t="str"/>
      <x:c r="E190" s="23" t="str">
        <x:v>Global search permission</x:v>
      </x:c>
      <x:c r="F190" s="23" t="str">
        <x:v>Functional</x:v>
      </x:c>
      <x:c r="G190" s="23" t="str">
        <x:v>Lab Manager</x:v>
      </x:c>
      <x:c r="H190" s="23" t="str">
        <x:v>Medium</x:v>
      </x:c>
      <x:c r="I190" s="23" t="str">
        <x:v>No</x:v>
      </x:c>
      <x:c r="J190" s="23" t="str"/>
      <x:c r="K190" s="23" t="str">
        <x:v>Required master data and user exist.</x:v>
      </x:c>
      <x:c r="L190" s="23" t="str">
        <x:v>Use dedicated non-production test data.</x:v>
      </x:c>
      <x:c r="M190" s="23" t="str">
        <x:v>1. Sign in as Lab Manager. 2. Search as limited roles. 3. Save or submit. 4. Refresh or reopen the record. 5. Compare the result with the pass condition.</x:v>
      </x:c>
      <x:c r="N190" s="23" t="str">
        <x:v>Results include only permitted modules/records.</x:v>
      </x:c>
      <x:c r="O190" s="26" t="str">
        <x:v>Not Run</x:v>
      </x:c>
      <x:c r="P190" s="26" t="str"/>
      <x:c r="Q190" s="26" t="str"/>
      <x:c r="R190" s="26" t="str"/>
      <x:c r="S190" s="26" t="str"/>
      <x:c r="T190" s="26" t="str"/>
      <x:c r="U190" s="26" t="str">
        <x:v>QA</x:v>
      </x:c>
      <x:c r="V190" s="26" t="str"/>
      <x:c r="W190" s="29" t="str"/>
      <x:c r="X190" s="26" t="str"/>
      <x:c r="Y190" s="26" t="str">
        <x:v>Not Required</x:v>
      </x:c>
      <x:c r="Z190" s="26" t="str"/>
      <x:c r="AA190" s="28" t="n">
        <x:f>IF(OR(O190="Passed",O190="Failed",O190="Blocked"),1,0)</x:f>
        <x:v>0</x:v>
      </x:c>
      <x:c r="AB190" s="28" t="n">
        <x:f>IF(O190="Passed",1,0)</x:f>
        <x:v>0</x:v>
      </x:c>
      <x:c r="AC190" s="28" t="n">
        <x:f>IF(AND(OR(R190="Critical",R190="High"),OR(O190="Failed",O190="Blocked"),S190&lt;&gt;"Closed",S190&lt;&gt;"Rejected"),1,0)</x:f>
        <x:v>0</x:v>
      </x:c>
      <x:c r="AD190" s="28" t="n">
        <x:f>IF(X190&lt;&gt;"",1,0)</x:f>
        <x:v>0</x:v>
      </x:c>
      <x:c r="AE190" s="28" t="n">
        <x:f>IF(J190&lt;&gt;"",1,0)</x:f>
        <x:v>0</x:v>
      </x:c>
    </x:row>
    <x:row r="191">
      <x:c r="A191" s="23" t="str">
        <x:v>L2-160</x:v>
      </x:c>
      <x:c r="B191" s="23" t="str">
        <x:v>Level 2</x:v>
      </x:c>
      <x:c r="C191" s="23" t="str">
        <x:v>Dashboard, Search, Notifications &amp; Analytics</x:v>
      </x:c>
      <x:c r="D191" s="23" t="str"/>
      <x:c r="E191" s="23" t="str">
        <x:v>Search navigation</x:v>
      </x:c>
      <x:c r="F191" s="23" t="str">
        <x:v>Functional</x:v>
      </x:c>
      <x:c r="G191" s="23" t="str">
        <x:v>Lab Manager</x:v>
      </x:c>
      <x:c r="H191" s="23" t="str">
        <x:v>Medium</x:v>
      </x:c>
      <x:c r="I191" s="23" t="str">
        <x:v>No</x:v>
      </x:c>
      <x:c r="J191" s="23" t="str"/>
      <x:c r="K191" s="23" t="str">
        <x:v>Required master data and user exist.</x:v>
      </x:c>
      <x:c r="L191" s="23" t="str">
        <x:v>Use dedicated non-production test data.</x:v>
      </x:c>
      <x:c r="M191" s="23" t="str">
        <x:v>1. Sign in as Lab Manager. 2. Open patient, sample, report and bill search results. 3. Save or submit. 4. Refresh or reopen the record. 5. Compare the result with the pass condition.</x:v>
      </x:c>
      <x:c r="N191" s="23" t="str">
        <x:v>Each link opens the correct record.</x:v>
      </x:c>
      <x:c r="O191" s="26" t="str">
        <x:v>Not Run</x:v>
      </x:c>
      <x:c r="P191" s="26" t="str"/>
      <x:c r="Q191" s="26" t="str"/>
      <x:c r="R191" s="26" t="str"/>
      <x:c r="S191" s="26" t="str"/>
      <x:c r="T191" s="26" t="str"/>
      <x:c r="U191" s="26" t="str">
        <x:v>QA</x:v>
      </x:c>
      <x:c r="V191" s="26" t="str"/>
      <x:c r="W191" s="29" t="str"/>
      <x:c r="X191" s="26" t="str"/>
      <x:c r="Y191" s="26" t="str">
        <x:v>Not Required</x:v>
      </x:c>
      <x:c r="Z191" s="26" t="str"/>
      <x:c r="AA191" s="28" t="n">
        <x:f>IF(OR(O191="Passed",O191="Failed",O191="Blocked"),1,0)</x:f>
        <x:v>0</x:v>
      </x:c>
      <x:c r="AB191" s="28" t="n">
        <x:f>IF(O191="Passed",1,0)</x:f>
        <x:v>0</x:v>
      </x:c>
      <x:c r="AC191" s="28" t="n">
        <x:f>IF(AND(OR(R191="Critical",R191="High"),OR(O191="Failed",O191="Blocked"),S191&lt;&gt;"Closed",S191&lt;&gt;"Rejected"),1,0)</x:f>
        <x:v>0</x:v>
      </x:c>
      <x:c r="AD191" s="28" t="n">
        <x:f>IF(X191&lt;&gt;"",1,0)</x:f>
        <x:v>0</x:v>
      </x:c>
      <x:c r="AE191" s="28" t="n">
        <x:f>IF(J191&lt;&gt;"",1,0)</x:f>
        <x:v>0</x:v>
      </x:c>
    </x:row>
    <x:row r="192">
      <x:c r="A192" s="23" t="str">
        <x:v>L2-161</x:v>
      </x:c>
      <x:c r="B192" s="23" t="str">
        <x:v>Level 2</x:v>
      </x:c>
      <x:c r="C192" s="23" t="str">
        <x:v>Dashboard, Search, Notifications &amp; Analytics</x:v>
      </x:c>
      <x:c r="D192" s="23" t="str"/>
      <x:c r="E192" s="23" t="str">
        <x:v>Low-stock notification</x:v>
      </x:c>
      <x:c r="F192" s="23" t="str">
        <x:v>Functional</x:v>
      </x:c>
      <x:c r="G192" s="23" t="str">
        <x:v>Lab Manager</x:v>
      </x:c>
      <x:c r="H192" s="23" t="str">
        <x:v>Medium</x:v>
      </x:c>
      <x:c r="I192" s="23" t="str">
        <x:v>No</x:v>
      </x:c>
      <x:c r="J192" s="23" t="str"/>
      <x:c r="K192" s="23" t="str">
        <x:v>Required master data and user exist.</x:v>
      </x:c>
      <x:c r="L192" s="23" t="str">
        <x:v>Use dedicated non-production test data.</x:v>
      </x:c>
      <x:c r="M192" s="23" t="str">
        <x:v>1. Sign in as Lab Manager. 2. Trigger low stock. 3. Save or submit. 4. Refresh or reopen the record. 5. Compare the result with the pass condition.</x:v>
      </x:c>
      <x:c r="N192" s="23" t="str">
        <x:v>Correct users receive the notification.</x:v>
      </x:c>
      <x:c r="O192" s="26" t="str">
        <x:v>Not Run</x:v>
      </x:c>
      <x:c r="P192" s="26" t="str"/>
      <x:c r="Q192" s="26" t="str"/>
      <x:c r="R192" s="26" t="str"/>
      <x:c r="S192" s="26" t="str"/>
      <x:c r="T192" s="26" t="str"/>
      <x:c r="U192" s="26" t="str">
        <x:v>QA</x:v>
      </x:c>
      <x:c r="V192" s="26" t="str"/>
      <x:c r="W192" s="29" t="str"/>
      <x:c r="X192" s="26" t="str"/>
      <x:c r="Y192" s="26" t="str">
        <x:v>Not Required</x:v>
      </x:c>
      <x:c r="Z192" s="26" t="str"/>
      <x:c r="AA192" s="28" t="n">
        <x:f>IF(OR(O192="Passed",O192="Failed",O192="Blocked"),1,0)</x:f>
        <x:v>0</x:v>
      </x:c>
      <x:c r="AB192" s="28" t="n">
        <x:f>IF(O192="Passed",1,0)</x:f>
        <x:v>0</x:v>
      </x:c>
      <x:c r="AC192" s="28" t="n">
        <x:f>IF(AND(OR(R192="Critical",R192="High"),OR(O192="Failed",O192="Blocked"),S192&lt;&gt;"Closed",S192&lt;&gt;"Rejected"),1,0)</x:f>
        <x:v>0</x:v>
      </x:c>
      <x:c r="AD192" s="28" t="n">
        <x:f>IF(X192&lt;&gt;"",1,0)</x:f>
        <x:v>0</x:v>
      </x:c>
      <x:c r="AE192" s="28" t="n">
        <x:f>IF(J192&lt;&gt;"",1,0)</x:f>
        <x:v>0</x:v>
      </x:c>
    </x:row>
    <x:row r="193">
      <x:c r="A193" s="23" t="str">
        <x:v>L2-162</x:v>
      </x:c>
      <x:c r="B193" s="23" t="str">
        <x:v>Level 2</x:v>
      </x:c>
      <x:c r="C193" s="23" t="str">
        <x:v>Dashboard, Search, Notifications &amp; Analytics</x:v>
      </x:c>
      <x:c r="D193" s="23" t="str"/>
      <x:c r="E193" s="23" t="str">
        <x:v>Pending report notification</x:v>
      </x:c>
      <x:c r="F193" s="23" t="str">
        <x:v>Functional</x:v>
      </x:c>
      <x:c r="G193" s="23" t="str">
        <x:v>Lab Manager</x:v>
      </x:c>
      <x:c r="H193" s="23" t="str">
        <x:v>Medium</x:v>
      </x:c>
      <x:c r="I193" s="23" t="str">
        <x:v>No</x:v>
      </x:c>
      <x:c r="J193" s="23" t="str"/>
      <x:c r="K193" s="23" t="str">
        <x:v>Required master data and user exist.</x:v>
      </x:c>
      <x:c r="L193" s="23" t="str">
        <x:v>Use dedicated non-production test data.</x:v>
      </x:c>
      <x:c r="M193" s="23" t="str">
        <x:v>1. Sign in as Lab Manager. 2. Create overdue/pending work. 3. Save or submit. 4. Refresh or reopen the record. 5. Compare the result with the pass condition.</x:v>
      </x:c>
      <x:c r="N193" s="23" t="str">
        <x:v>Configured notification appears.</x:v>
      </x:c>
      <x:c r="O193" s="26" t="str">
        <x:v>Not Run</x:v>
      </x:c>
      <x:c r="P193" s="26" t="str"/>
      <x:c r="Q193" s="26" t="str"/>
      <x:c r="R193" s="26" t="str"/>
      <x:c r="S193" s="26" t="str"/>
      <x:c r="T193" s="26" t="str"/>
      <x:c r="U193" s="26" t="str">
        <x:v>QA</x:v>
      </x:c>
      <x:c r="V193" s="26" t="str"/>
      <x:c r="W193" s="29" t="str"/>
      <x:c r="X193" s="26" t="str"/>
      <x:c r="Y193" s="26" t="str">
        <x:v>Not Required</x:v>
      </x:c>
      <x:c r="Z193" s="26" t="str"/>
      <x:c r="AA193" s="28" t="n">
        <x:f>IF(OR(O193="Passed",O193="Failed",O193="Blocked"),1,0)</x:f>
        <x:v>0</x:v>
      </x:c>
      <x:c r="AB193" s="28" t="n">
        <x:f>IF(O193="Passed",1,0)</x:f>
        <x:v>0</x:v>
      </x:c>
      <x:c r="AC193" s="28" t="n">
        <x:f>IF(AND(OR(R193="Critical",R193="High"),OR(O193="Failed",O193="Blocked"),S193&lt;&gt;"Closed",S193&lt;&gt;"Rejected"),1,0)</x:f>
        <x:v>0</x:v>
      </x:c>
      <x:c r="AD193" s="28" t="n">
        <x:f>IF(X193&lt;&gt;"",1,0)</x:f>
        <x:v>0</x:v>
      </x:c>
      <x:c r="AE193" s="28" t="n">
        <x:f>IF(J193&lt;&gt;"",1,0)</x:f>
        <x:v>0</x:v>
      </x:c>
    </x:row>
    <x:row r="194">
      <x:c r="A194" s="23" t="str">
        <x:v>L2-163</x:v>
      </x:c>
      <x:c r="B194" s="23" t="str">
        <x:v>Level 2</x:v>
      </x:c>
      <x:c r="C194" s="23" t="str">
        <x:v>Dashboard, Search, Notifications &amp; Analytics</x:v>
      </x:c>
      <x:c r="D194" s="23" t="str"/>
      <x:c r="E194" s="23" t="str">
        <x:v>Read/unread state</x:v>
      </x:c>
      <x:c r="F194" s="23" t="str">
        <x:v>Functional</x:v>
      </x:c>
      <x:c r="G194" s="23" t="str">
        <x:v>Lab Manager</x:v>
      </x:c>
      <x:c r="H194" s="23" t="str">
        <x:v>Medium</x:v>
      </x:c>
      <x:c r="I194" s="23" t="str">
        <x:v>No</x:v>
      </x:c>
      <x:c r="J194" s="23" t="str">
        <x:v>Richer read/unread behavior</x:v>
      </x:c>
      <x:c r="K194" s="23" t="str">
        <x:v>Required master data and user exist.</x:v>
      </x:c>
      <x:c r="L194" s="23" t="str">
        <x:v>Use dedicated non-production test data.</x:v>
      </x:c>
      <x:c r="M194" s="23" t="str">
        <x:v>1. Sign in as Lab Manager. 2. Mark notification read and reload. 3. Save or submit. 4. Refresh or reopen the record. 5. Compare the result with the pass condition.</x:v>
      </x:c>
      <x:c r="N194" s="23" t="str">
        <x:v>State persists.</x:v>
      </x:c>
      <x:c r="O194" s="26" t="str">
        <x:v>Not Run</x:v>
      </x:c>
      <x:c r="P194" s="26" t="str"/>
      <x:c r="Q194" s="26" t="str"/>
      <x:c r="R194" s="26" t="str"/>
      <x:c r="S194" s="26" t="str"/>
      <x:c r="T194" s="26" t="str"/>
      <x:c r="U194" s="26" t="str">
        <x:v>QA</x:v>
      </x:c>
      <x:c r="V194" s="26" t="str"/>
      <x:c r="W194" s="29" t="str"/>
      <x:c r="X194" s="26" t="str"/>
      <x:c r="Y194" s="26" t="str">
        <x:v>Not Required</x:v>
      </x:c>
      <x:c r="Z194" s="26" t="str"/>
      <x:c r="AA194" s="28" t="n">
        <x:f>IF(OR(O194="Passed",O194="Failed",O194="Blocked"),1,0)</x:f>
        <x:v>0</x:v>
      </x:c>
      <x:c r="AB194" s="28" t="n">
        <x:f>IF(O194="Passed",1,0)</x:f>
        <x:v>0</x:v>
      </x:c>
      <x:c r="AC194" s="28" t="n">
        <x:f>IF(AND(OR(R194="Critical",R194="High"),OR(O194="Failed",O194="Blocked"),S194&lt;&gt;"Closed",S194&lt;&gt;"Rejected"),1,0)</x:f>
        <x:v>0</x:v>
      </x:c>
      <x:c r="AD194" s="28" t="n">
        <x:f>IF(X194&lt;&gt;"",1,0)</x:f>
        <x:v>0</x:v>
      </x:c>
      <x:c r="AE194" s="28" t="n">
        <x:f>IF(J194&lt;&gt;"",1,0)</x:f>
        <x:v>1</x:v>
      </x:c>
    </x:row>
    <x:row r="195">
      <x:c r="A195" s="23" t="str">
        <x:v>L2-164</x:v>
      </x:c>
      <x:c r="B195" s="23" t="str">
        <x:v>Level 2</x:v>
      </x:c>
      <x:c r="C195" s="23" t="str">
        <x:v>Dashboard, Search, Notifications &amp; Analytics</x:v>
      </x:c>
      <x:c r="D195" s="23" t="str"/>
      <x:c r="E195" s="23" t="str">
        <x:v>Notification preferences</x:v>
      </x:c>
      <x:c r="F195" s="23" t="str">
        <x:v>Functional</x:v>
      </x:c>
      <x:c r="G195" s="23" t="str">
        <x:v>Lab Manager</x:v>
      </x:c>
      <x:c r="H195" s="23" t="str">
        <x:v>Medium</x:v>
      </x:c>
      <x:c r="I195" s="23" t="str">
        <x:v>No</x:v>
      </x:c>
      <x:c r="J195" s="23" t="str">
        <x:v>User-specific notification preferences</x:v>
      </x:c>
      <x:c r="K195" s="23" t="str">
        <x:v>Required master data and user exist.</x:v>
      </x:c>
      <x:c r="L195" s="23" t="str">
        <x:v>Use dedicated non-production test data.</x:v>
      </x:c>
      <x:c r="M195" s="23" t="str">
        <x:v>1. Sign in as Lab Manager. 2. Disable a notification category. 3. Save or submit. 4. Refresh or reopen the record. 5. Compare the result with the pass condition.</x:v>
      </x:c>
      <x:c r="N195" s="23" t="str">
        <x:v>Preference is respected.</x:v>
      </x:c>
      <x:c r="O195" s="26" t="str">
        <x:v>Not Run</x:v>
      </x:c>
      <x:c r="P195" s="26" t="str"/>
      <x:c r="Q195" s="26" t="str"/>
      <x:c r="R195" s="26" t="str"/>
      <x:c r="S195" s="26" t="str"/>
      <x:c r="T195" s="26" t="str"/>
      <x:c r="U195" s="26" t="str">
        <x:v>QA</x:v>
      </x:c>
      <x:c r="V195" s="26" t="str"/>
      <x:c r="W195" s="29" t="str"/>
      <x:c r="X195" s="26" t="str"/>
      <x:c r="Y195" s="26" t="str">
        <x:v>Not Required</x:v>
      </x:c>
      <x:c r="Z195" s="26" t="str"/>
      <x:c r="AA195" s="28" t="n">
        <x:f>IF(OR(O195="Passed",O195="Failed",O195="Blocked"),1,0)</x:f>
        <x:v>0</x:v>
      </x:c>
      <x:c r="AB195" s="28" t="n">
        <x:f>IF(O195="Passed",1,0)</x:f>
        <x:v>0</x:v>
      </x:c>
      <x:c r="AC195" s="28" t="n">
        <x:f>IF(AND(OR(R195="Critical",R195="High"),OR(O195="Failed",O195="Blocked"),S195&lt;&gt;"Closed",S195&lt;&gt;"Rejected"),1,0)</x:f>
        <x:v>0</x:v>
      </x:c>
      <x:c r="AD195" s="28" t="n">
        <x:f>IF(X195&lt;&gt;"",1,0)</x:f>
        <x:v>0</x:v>
      </x:c>
      <x:c r="AE195" s="28" t="n">
        <x:f>IF(J195&lt;&gt;"",1,0)</x:f>
        <x:v>1</x:v>
      </x:c>
    </x:row>
    <x:row r="196">
      <x:c r="A196" s="23" t="str">
        <x:v>L2-165</x:v>
      </x:c>
      <x:c r="B196" s="23" t="str">
        <x:v>Level 2</x:v>
      </x:c>
      <x:c r="C196" s="23" t="str">
        <x:v>Dashboard, Search, Notifications &amp; Analytics</x:v>
      </x:c>
      <x:c r="D196" s="23" t="str"/>
      <x:c r="E196" s="23" t="str">
        <x:v>Analytics date filter</x:v>
      </x:c>
      <x:c r="F196" s="23" t="str">
        <x:v>Functional</x:v>
      </x:c>
      <x:c r="G196" s="23" t="str">
        <x:v>Lab Manager</x:v>
      </x:c>
      <x:c r="H196" s="23" t="str">
        <x:v>Medium</x:v>
      </x:c>
      <x:c r="I196" s="23" t="str">
        <x:v>No</x:v>
      </x:c>
      <x:c r="J196" s="23" t="str"/>
      <x:c r="K196" s="23" t="str">
        <x:v>Required master data and user exist.</x:v>
      </x:c>
      <x:c r="L196" s="23" t="str">
        <x:v>Use dedicated non-production test data.</x:v>
      </x:c>
      <x:c r="M196" s="23" t="str">
        <x:v>1. Sign in as Lab Manager. 2. Compare analytics with source bills in a date range. 3. Save or submit. 4. Refresh or reopen the record. 5. Compare the result with the pass condition.</x:v>
      </x:c>
      <x:c r="N196" s="23" t="str">
        <x:v>Revenue and counts match.</x:v>
      </x:c>
      <x:c r="O196" s="26" t="str">
        <x:v>Not Run</x:v>
      </x:c>
      <x:c r="P196" s="26" t="str"/>
      <x:c r="Q196" s="26" t="str"/>
      <x:c r="R196" s="26" t="str"/>
      <x:c r="S196" s="26" t="str"/>
      <x:c r="T196" s="26" t="str"/>
      <x:c r="U196" s="26" t="str">
        <x:v>QA</x:v>
      </x:c>
      <x:c r="V196" s="26" t="str"/>
      <x:c r="W196" s="29" t="str"/>
      <x:c r="X196" s="26" t="str"/>
      <x:c r="Y196" s="26" t="str">
        <x:v>Not Required</x:v>
      </x:c>
      <x:c r="Z196" s="26" t="str"/>
      <x:c r="AA196" s="28" t="n">
        <x:f>IF(OR(O196="Passed",O196="Failed",O196="Blocked"),1,0)</x:f>
        <x:v>0</x:v>
      </x:c>
      <x:c r="AB196" s="28" t="n">
        <x:f>IF(O196="Passed",1,0)</x:f>
        <x:v>0</x:v>
      </x:c>
      <x:c r="AC196" s="28" t="n">
        <x:f>IF(AND(OR(R196="Critical",R196="High"),OR(O196="Failed",O196="Blocked"),S196&lt;&gt;"Closed",S196&lt;&gt;"Rejected"),1,0)</x:f>
        <x:v>0</x:v>
      </x:c>
      <x:c r="AD196" s="28" t="n">
        <x:f>IF(X196&lt;&gt;"",1,0)</x:f>
        <x:v>0</x:v>
      </x:c>
      <x:c r="AE196" s="28" t="n">
        <x:f>IF(J196&lt;&gt;"",1,0)</x:f>
        <x:v>0</x:v>
      </x:c>
    </x:row>
    <x:row r="197">
      <x:c r="A197" s="23" t="str">
        <x:v>L2-166</x:v>
      </x:c>
      <x:c r="B197" s="23" t="str">
        <x:v>Level 2</x:v>
      </x:c>
      <x:c r="C197" s="23" t="str">
        <x:v>Dashboard, Search, Notifications &amp; Analytics</x:v>
      </x:c>
      <x:c r="D197" s="23" t="str"/>
      <x:c r="E197" s="23" t="str">
        <x:v>Doctor analytics privacy</x:v>
      </x:c>
      <x:c r="F197" s="23" t="str">
        <x:v>Functional</x:v>
      </x:c>
      <x:c r="G197" s="23" t="str">
        <x:v>Lab Manager</x:v>
      </x:c>
      <x:c r="H197" s="23" t="str">
        <x:v>Medium</x:v>
      </x:c>
      <x:c r="I197" s="23" t="str">
        <x:v>No</x:v>
      </x:c>
      <x:c r="J197" s="23" t="str"/>
      <x:c r="K197" s="23" t="str">
        <x:v>Required master data and user exist.</x:v>
      </x:c>
      <x:c r="L197" s="23" t="str">
        <x:v>Use dedicated non-production test data.</x:v>
      </x:c>
      <x:c r="M197" s="23" t="str">
        <x:v>1. Sign in as Lab Manager. 2. Compare Regular and Investor analytics access. 3. Save or submit. 4. Refresh or reopen the record. 5. Compare the result with the pass condition.</x:v>
      </x:c>
      <x:c r="N197" s="23" t="str">
        <x:v>Financial/commission data follows approved permissions.</x:v>
      </x:c>
      <x:c r="O197" s="26" t="str">
        <x:v>Not Run</x:v>
      </x:c>
      <x:c r="P197" s="26" t="str"/>
      <x:c r="Q197" s="26" t="str"/>
      <x:c r="R197" s="26" t="str"/>
      <x:c r="S197" s="26" t="str"/>
      <x:c r="T197" s="26" t="str"/>
      <x:c r="U197" s="26" t="str">
        <x:v>QA</x:v>
      </x:c>
      <x:c r="V197" s="26" t="str"/>
      <x:c r="W197" s="29" t="str"/>
      <x:c r="X197" s="26" t="str"/>
      <x:c r="Y197" s="26" t="str">
        <x:v>Not Required</x:v>
      </x:c>
      <x:c r="Z197" s="26" t="str"/>
      <x:c r="AA197" s="28" t="n">
        <x:f>IF(OR(O197="Passed",O197="Failed",O197="Blocked"),1,0)</x:f>
        <x:v>0</x:v>
      </x:c>
      <x:c r="AB197" s="28" t="n">
        <x:f>IF(O197="Passed",1,0)</x:f>
        <x:v>0</x:v>
      </x:c>
      <x:c r="AC197" s="28" t="n">
        <x:f>IF(AND(OR(R197="Critical",R197="High"),OR(O197="Failed",O197="Blocked"),S197&lt;&gt;"Closed",S197&lt;&gt;"Rejected"),1,0)</x:f>
        <x:v>0</x:v>
      </x:c>
      <x:c r="AD197" s="28" t="n">
        <x:f>IF(X197&lt;&gt;"",1,0)</x:f>
        <x:v>0</x:v>
      </x:c>
      <x:c r="AE197" s="28" t="n">
        <x:f>IF(J197&lt;&gt;"",1,0)</x:f>
        <x:v>0</x:v>
      </x:c>
    </x:row>
    <x:row r="198">
      <x:c r="A198" s="23" t="str">
        <x:v>L2-167</x:v>
      </x:c>
      <x:c r="B198" s="23" t="str">
        <x:v>Level 2</x:v>
      </x:c>
      <x:c r="C198" s="23" t="str">
        <x:v>Dashboard, Search, Notifications &amp; Analytics</x:v>
      </x:c>
      <x:c r="D198" s="23" t="str"/>
      <x:c r="E198" s="23" t="str">
        <x:v>Pending workflow analytics</x:v>
      </x:c>
      <x:c r="F198" s="23" t="str">
        <x:v>Functional</x:v>
      </x:c>
      <x:c r="G198" s="23" t="str">
        <x:v>Lab Manager</x:v>
      </x:c>
      <x:c r="H198" s="23" t="str">
        <x:v>Medium</x:v>
      </x:c>
      <x:c r="I198" s="23" t="str">
        <x:v>No</x:v>
      </x:c>
      <x:c r="J198" s="23" t="str">
        <x:v>Deeper pending-work analytics</x:v>
      </x:c>
      <x:c r="K198" s="23" t="str">
        <x:v>Required master data and user exist.</x:v>
      </x:c>
      <x:c r="L198" s="23" t="str">
        <x:v>Use dedicated non-production test data.</x:v>
      </x:c>
      <x:c r="M198" s="23" t="str">
        <x:v>1. Sign in as Lab Manager. 2. Compare pending samples/reports with operational lists. 3. Save or submit. 4. Refresh or reopen the record. 5. Compare the result with the pass condition.</x:v>
      </x:c>
      <x:c r="N198" s="23" t="str">
        <x:v>Counts reconcile or the gap is recorded.</x:v>
      </x:c>
      <x:c r="O198" s="26" t="str">
        <x:v>Not Run</x:v>
      </x:c>
      <x:c r="P198" s="26" t="str"/>
      <x:c r="Q198" s="26" t="str"/>
      <x:c r="R198" s="26" t="str"/>
      <x:c r="S198" s="26" t="str"/>
      <x:c r="T198" s="26" t="str"/>
      <x:c r="U198" s="26" t="str">
        <x:v>QA</x:v>
      </x:c>
      <x:c r="V198" s="26" t="str"/>
      <x:c r="W198" s="29" t="str"/>
      <x:c r="X198" s="26" t="str"/>
      <x:c r="Y198" s="26" t="str">
        <x:v>Not Required</x:v>
      </x:c>
      <x:c r="Z198" s="26" t="str"/>
      <x:c r="AA198" s="28" t="n">
        <x:f>IF(OR(O198="Passed",O198="Failed",O198="Blocked"),1,0)</x:f>
        <x:v>0</x:v>
      </x:c>
      <x:c r="AB198" s="28" t="n">
        <x:f>IF(O198="Passed",1,0)</x:f>
        <x:v>0</x:v>
      </x:c>
      <x:c r="AC198" s="28" t="n">
        <x:f>IF(AND(OR(R198="Critical",R198="High"),OR(O198="Failed",O198="Blocked"),S198&lt;&gt;"Closed",S198&lt;&gt;"Rejected"),1,0)</x:f>
        <x:v>0</x:v>
      </x:c>
      <x:c r="AD198" s="28" t="n">
        <x:f>IF(X198&lt;&gt;"",1,0)</x:f>
        <x:v>0</x:v>
      </x:c>
      <x:c r="AE198" s="28" t="n">
        <x:f>IF(J198&lt;&gt;"",1,0)</x:f>
        <x:v>1</x:v>
      </x:c>
    </x:row>
    <x:row r="199">
      <x:c r="A199" s="23" t="str">
        <x:v>L2-168</x:v>
      </x:c>
      <x:c r="B199" s="23" t="str">
        <x:v>Level 2</x:v>
      </x:c>
      <x:c r="C199" s="23" t="str">
        <x:v>Dashboard, Search, Notifications &amp; Analytics</x:v>
      </x:c>
      <x:c r="D199" s="23" t="str"/>
      <x:c r="E199" s="23" t="str">
        <x:v>Analytics export</x:v>
      </x:c>
      <x:c r="F199" s="23" t="str">
        <x:v>Functional</x:v>
      </x:c>
      <x:c r="G199" s="23" t="str">
        <x:v>Lab Manager</x:v>
      </x:c>
      <x:c r="H199" s="23" t="str">
        <x:v>Medium</x:v>
      </x:c>
      <x:c r="I199" s="23" t="str">
        <x:v>No</x:v>
      </x:c>
      <x:c r="J199" s="23" t="str">
        <x:v>Exportable analytics reports</x:v>
      </x:c>
      <x:c r="K199" s="23" t="str">
        <x:v>Required master data and user exist.</x:v>
      </x:c>
      <x:c r="L199" s="23" t="str">
        <x:v>Use dedicated non-production test data.</x:v>
      </x:c>
      <x:c r="M199" s="23" t="str">
        <x:v>1. Sign in as Lab Manager. 2. Export an analytics report. 3. Save or submit. 4. Refresh or reopen the record. 5. Compare the result with the pass condition.</x:v>
      </x:c>
      <x:c r="N199" s="23" t="str">
        <x:v>Export matches filtered screen data.</x:v>
      </x:c>
      <x:c r="O199" s="26" t="str">
        <x:v>Not Run</x:v>
      </x:c>
      <x:c r="P199" s="26" t="str"/>
      <x:c r="Q199" s="26" t="str"/>
      <x:c r="R199" s="26" t="str"/>
      <x:c r="S199" s="26" t="str"/>
      <x:c r="T199" s="26" t="str"/>
      <x:c r="U199" s="26" t="str">
        <x:v>QA</x:v>
      </x:c>
      <x:c r="V199" s="26" t="str"/>
      <x:c r="W199" s="29" t="str"/>
      <x:c r="X199" s="26" t="str"/>
      <x:c r="Y199" s="26" t="str">
        <x:v>Not Required</x:v>
      </x:c>
      <x:c r="Z199" s="26" t="str"/>
      <x:c r="AA199" s="28" t="n">
        <x:f>IF(OR(O199="Passed",O199="Failed",O199="Blocked"),1,0)</x:f>
        <x:v>0</x:v>
      </x:c>
      <x:c r="AB199" s="28" t="n">
        <x:f>IF(O199="Passed",1,0)</x:f>
        <x:v>0</x:v>
      </x:c>
      <x:c r="AC199" s="28" t="n">
        <x:f>IF(AND(OR(R199="Critical",R199="High"),OR(O199="Failed",O199="Blocked"),S199&lt;&gt;"Closed",S199&lt;&gt;"Rejected"),1,0)</x:f>
        <x:v>0</x:v>
      </x:c>
      <x:c r="AD199" s="28" t="n">
        <x:f>IF(X199&lt;&gt;"",1,0)</x:f>
        <x:v>0</x:v>
      </x:c>
      <x:c r="AE199" s="28" t="n">
        <x:f>IF(J199&lt;&gt;"",1,0)</x:f>
        <x:v>1</x:v>
      </x:c>
    </x:row>
    <x:row r="200">
      <x:c r="A200" s="23" t="str">
        <x:v>L2-169</x:v>
      </x:c>
      <x:c r="B200" s="23" t="str">
        <x:v>Level 2</x:v>
      </x:c>
      <x:c r="C200" s="23" t="str">
        <x:v>Developer, Subscription &amp; Tenant</x:v>
      </x:c>
      <x:c r="D200" s="23" t="str"/>
      <x:c r="E200" s="23" t="str">
        <x:v>Tenant provisioning rollback</x:v>
      </x:c>
      <x:c r="F200" s="23" t="str">
        <x:v>Integration</x:v>
      </x:c>
      <x:c r="G200" s="23" t="str">
        <x:v>Developer Admin</x:v>
      </x:c>
      <x:c r="H200" s="23" t="str">
        <x:v>Critical</x:v>
      </x:c>
      <x:c r="I200" s="23" t="str">
        <x:v>Yes</x:v>
      </x:c>
      <x:c r="J200" s="23" t="str"/>
      <x:c r="K200" s="23" t="str">
        <x:v>Required master data and user exist.</x:v>
      </x:c>
      <x:c r="L200" s="23" t="str">
        <x:v>Use dedicated non-production test data.</x:v>
      </x:c>
      <x:c r="M200" s="23" t="str">
        <x:v>1. Sign in as Developer Admin. 2. Force failure during onboarding. 3. Save or submit. 4. Refresh or reopen the record. 5. Compare the result with the pass condition.</x:v>
      </x:c>
      <x:c r="N200" s="23" t="str">
        <x:v>No half-created tenant or admin remains.</x:v>
      </x:c>
      <x:c r="O200" s="26" t="str">
        <x:v>Not Run</x:v>
      </x:c>
      <x:c r="P200" s="26" t="str"/>
      <x:c r="Q200" s="26" t="str"/>
      <x:c r="R200" s="26" t="str"/>
      <x:c r="S200" s="26" t="str"/>
      <x:c r="T200" s="26" t="str"/>
      <x:c r="U200" s="26" t="str">
        <x:v>QA</x:v>
      </x:c>
      <x:c r="V200" s="26" t="str"/>
      <x:c r="W200" s="29" t="str"/>
      <x:c r="X200" s="26" t="str"/>
      <x:c r="Y200" s="26" t="str">
        <x:v>Not Required</x:v>
      </x:c>
      <x:c r="Z200" s="26" t="str"/>
      <x:c r="AA200" s="28" t="n">
        <x:f>IF(OR(O200="Passed",O200="Failed",O200="Blocked"),1,0)</x:f>
        <x:v>0</x:v>
      </x:c>
      <x:c r="AB200" s="28" t="n">
        <x:f>IF(O200="Passed",1,0)</x:f>
        <x:v>0</x:v>
      </x:c>
      <x:c r="AC200" s="28" t="n">
        <x:f>IF(AND(OR(R200="Critical",R200="High"),OR(O200="Failed",O200="Blocked"),S200&lt;&gt;"Closed",S200&lt;&gt;"Rejected"),1,0)</x:f>
        <x:v>0</x:v>
      </x:c>
      <x:c r="AD200" s="28" t="n">
        <x:f>IF(X200&lt;&gt;"",1,0)</x:f>
        <x:v>0</x:v>
      </x:c>
      <x:c r="AE200" s="28" t="n">
        <x:f>IF(J200&lt;&gt;"",1,0)</x:f>
        <x:v>0</x:v>
      </x:c>
    </x:row>
    <x:row r="201">
      <x:c r="A201" s="23" t="str">
        <x:v>L2-170</x:v>
      </x:c>
      <x:c r="B201" s="23" t="str">
        <x:v>Level 2</x:v>
      </x:c>
      <x:c r="C201" s="23" t="str">
        <x:v>Developer, Subscription &amp; Tenant</x:v>
      </x:c>
      <x:c r="D201" s="23" t="str"/>
      <x:c r="E201" s="23" t="str">
        <x:v>Tenant status</x:v>
      </x:c>
      <x:c r="F201" s="23" t="str">
        <x:v>Functional</x:v>
      </x:c>
      <x:c r="G201" s="23" t="str">
        <x:v>Developer Admin</x:v>
      </x:c>
      <x:c r="H201" s="23" t="str">
        <x:v>Medium</x:v>
      </x:c>
      <x:c r="I201" s="23" t="str">
        <x:v>No</x:v>
      </x:c>
      <x:c r="J201" s="23" t="str"/>
      <x:c r="K201" s="23" t="str">
        <x:v>Required master data and user exist.</x:v>
      </x:c>
      <x:c r="L201" s="23" t="str">
        <x:v>Use dedicated non-production test data.</x:v>
      </x:c>
      <x:c r="M201" s="23" t="str">
        <x:v>1. Sign in as Developer Admin. 2. Disable and re-enable a lab. 3. Save or submit. 4. Refresh or reopen the record. 5. Compare the result with the pass condition.</x:v>
      </x:c>
      <x:c r="N201" s="23" t="str">
        <x:v>Tenant login follows status immediately.</x:v>
      </x:c>
      <x:c r="O201" s="26" t="str">
        <x:v>Not Run</x:v>
      </x:c>
      <x:c r="P201" s="26" t="str"/>
      <x:c r="Q201" s="26" t="str"/>
      <x:c r="R201" s="26" t="str"/>
      <x:c r="S201" s="26" t="str"/>
      <x:c r="T201" s="26" t="str"/>
      <x:c r="U201" s="26" t="str">
        <x:v>QA</x:v>
      </x:c>
      <x:c r="V201" s="26" t="str"/>
      <x:c r="W201" s="29" t="str"/>
      <x:c r="X201" s="26" t="str"/>
      <x:c r="Y201" s="26" t="str">
        <x:v>Not Required</x:v>
      </x:c>
      <x:c r="Z201" s="26" t="str"/>
      <x:c r="AA201" s="28" t="n">
        <x:f>IF(OR(O201="Passed",O201="Failed",O201="Blocked"),1,0)</x:f>
        <x:v>0</x:v>
      </x:c>
      <x:c r="AB201" s="28" t="n">
        <x:f>IF(O201="Passed",1,0)</x:f>
        <x:v>0</x:v>
      </x:c>
      <x:c r="AC201" s="28" t="n">
        <x:f>IF(AND(OR(R201="Critical",R201="High"),OR(O201="Failed",O201="Blocked"),S201&lt;&gt;"Closed",S201&lt;&gt;"Rejected"),1,0)</x:f>
        <x:v>0</x:v>
      </x:c>
      <x:c r="AD201" s="28" t="n">
        <x:f>IF(X201&lt;&gt;"",1,0)</x:f>
        <x:v>0</x:v>
      </x:c>
      <x:c r="AE201" s="28" t="n">
        <x:f>IF(J201&lt;&gt;"",1,0)</x:f>
        <x:v>0</x:v>
      </x:c>
    </x:row>
    <x:row r="202">
      <x:c r="A202" s="23" t="str">
        <x:v>L2-171</x:v>
      </x:c>
      <x:c r="B202" s="23" t="str">
        <x:v>Level 2</x:v>
      </x:c>
      <x:c r="C202" s="23" t="str">
        <x:v>Developer, Subscription &amp; Tenant</x:v>
      </x:c>
      <x:c r="D202" s="23" t="str"/>
      <x:c r="E202" s="23" t="str">
        <x:v>Module plan</x:v>
      </x:c>
      <x:c r="F202" s="23" t="str">
        <x:v>Functional</x:v>
      </x:c>
      <x:c r="G202" s="23" t="str">
        <x:v>Developer Admin</x:v>
      </x:c>
      <x:c r="H202" s="23" t="str">
        <x:v>Medium</x:v>
      </x:c>
      <x:c r="I202" s="23" t="str">
        <x:v>No</x:v>
      </x:c>
      <x:c r="J202" s="23" t="str"/>
      <x:c r="K202" s="23" t="str">
        <x:v>Required master data and user exist.</x:v>
      </x:c>
      <x:c r="L202" s="23" t="str">
        <x:v>Use dedicated non-production test data.</x:v>
      </x:c>
      <x:c r="M202" s="23" t="str">
        <x:v>1. Sign in as Developer Admin. 2. Change subscription plan/modules. 3. Save or submit. 4. Refresh or reopen the record. 5. Compare the result with the pass condition.</x:v>
      </x:c>
      <x:c r="N202" s="23" t="str">
        <x:v>Navigation and APIs follow the new plan.</x:v>
      </x:c>
      <x:c r="O202" s="26" t="str">
        <x:v>Not Run</x:v>
      </x:c>
      <x:c r="P202" s="26" t="str"/>
      <x:c r="Q202" s="26" t="str"/>
      <x:c r="R202" s="26" t="str"/>
      <x:c r="S202" s="26" t="str"/>
      <x:c r="T202" s="26" t="str"/>
      <x:c r="U202" s="26" t="str">
        <x:v>QA</x:v>
      </x:c>
      <x:c r="V202" s="26" t="str"/>
      <x:c r="W202" s="29" t="str"/>
      <x:c r="X202" s="26" t="str"/>
      <x:c r="Y202" s="26" t="str">
        <x:v>Not Required</x:v>
      </x:c>
      <x:c r="Z202" s="26" t="str"/>
      <x:c r="AA202" s="28" t="n">
        <x:f>IF(OR(O202="Passed",O202="Failed",O202="Blocked"),1,0)</x:f>
        <x:v>0</x:v>
      </x:c>
      <x:c r="AB202" s="28" t="n">
        <x:f>IF(O202="Passed",1,0)</x:f>
        <x:v>0</x:v>
      </x:c>
      <x:c r="AC202" s="28" t="n">
        <x:f>IF(AND(OR(R202="Critical",R202="High"),OR(O202="Failed",O202="Blocked"),S202&lt;&gt;"Closed",S202&lt;&gt;"Rejected"),1,0)</x:f>
        <x:v>0</x:v>
      </x:c>
      <x:c r="AD202" s="28" t="n">
        <x:f>IF(X202&lt;&gt;"",1,0)</x:f>
        <x:v>0</x:v>
      </x:c>
      <x:c r="AE202" s="28" t="n">
        <x:f>IF(J202&lt;&gt;"",1,0)</x:f>
        <x:v>0</x:v>
      </x:c>
    </x:row>
    <x:row r="203">
      <x:c r="A203" s="23" t="str">
        <x:v>L2-172</x:v>
      </x:c>
      <x:c r="B203" s="23" t="str">
        <x:v>Level 2</x:v>
      </x:c>
      <x:c r="C203" s="23" t="str">
        <x:v>Developer, Subscription &amp; Tenant</x:v>
      </x:c>
      <x:c r="D203" s="23" t="str"/>
      <x:c r="E203" s="23" t="str">
        <x:v>Runtime quota</x:v>
      </x:c>
      <x:c r="F203" s="23" t="str">
        <x:v>Functional</x:v>
      </x:c>
      <x:c r="G203" s="23" t="str">
        <x:v>Developer Admin</x:v>
      </x:c>
      <x:c r="H203" s="23" t="str">
        <x:v>Critical</x:v>
      </x:c>
      <x:c r="I203" s="23" t="str">
        <x:v>Yes</x:v>
      </x:c>
      <x:c r="J203" s="23" t="str">
        <x:v>Complete runtime subscription enforcement</x:v>
      </x:c>
      <x:c r="K203" s="23" t="str">
        <x:v>Required master data and user exist.</x:v>
      </x:c>
      <x:c r="L203" s="23" t="str">
        <x:v>Use dedicated non-production test data.</x:v>
      </x:c>
      <x:c r="M203" s="23" t="str">
        <x:v>1. Sign in as Developer Admin. 2. Exceed a configured patient/report/user quota. 3. Save or submit. 4. Refresh or reopen the record. 5. Compare the result with the pass condition.</x:v>
      </x:c>
      <x:c r="N203" s="23" t="str">
        <x:v>The server enforces quota consistently.</x:v>
      </x:c>
      <x:c r="O203" s="26" t="str">
        <x:v>Not Run</x:v>
      </x:c>
      <x:c r="P203" s="26" t="str"/>
      <x:c r="Q203" s="26" t="str"/>
      <x:c r="R203" s="26" t="str"/>
      <x:c r="S203" s="26" t="str"/>
      <x:c r="T203" s="26" t="str"/>
      <x:c r="U203" s="26" t="str">
        <x:v>QA</x:v>
      </x:c>
      <x:c r="V203" s="26" t="str"/>
      <x:c r="W203" s="29" t="str"/>
      <x:c r="X203" s="26" t="str"/>
      <x:c r="Y203" s="26" t="str">
        <x:v>Not Required</x:v>
      </x:c>
      <x:c r="Z203" s="26" t="str"/>
      <x:c r="AA203" s="28" t="n">
        <x:f>IF(OR(O203="Passed",O203="Failed",O203="Blocked"),1,0)</x:f>
        <x:v>0</x:v>
      </x:c>
      <x:c r="AB203" s="28" t="n">
        <x:f>IF(O203="Passed",1,0)</x:f>
        <x:v>0</x:v>
      </x:c>
      <x:c r="AC203" s="28" t="n">
        <x:f>IF(AND(OR(R203="Critical",R203="High"),OR(O203="Failed",O203="Blocked"),S203&lt;&gt;"Closed",S203&lt;&gt;"Rejected"),1,0)</x:f>
        <x:v>0</x:v>
      </x:c>
      <x:c r="AD203" s="28" t="n">
        <x:f>IF(X203&lt;&gt;"",1,0)</x:f>
        <x:v>0</x:v>
      </x:c>
      <x:c r="AE203" s="28" t="n">
        <x:f>IF(J203&lt;&gt;"",1,0)</x:f>
        <x:v>1</x:v>
      </x:c>
    </x:row>
    <x:row r="204">
      <x:c r="A204" s="23" t="str">
        <x:v>L2-173</x:v>
      </x:c>
      <x:c r="B204" s="23" t="str">
        <x:v>Level 2</x:v>
      </x:c>
      <x:c r="C204" s="23" t="str">
        <x:v>Developer, Subscription &amp; Tenant</x:v>
      </x:c>
      <x:c r="D204" s="23" t="str"/>
      <x:c r="E204" s="23" t="str">
        <x:v>Upgrade request</x:v>
      </x:c>
      <x:c r="F204" s="23" t="str">
        <x:v>Functional</x:v>
      </x:c>
      <x:c r="G204" s="23" t="str">
        <x:v>Developer Admin</x:v>
      </x:c>
      <x:c r="H204" s="23" t="str">
        <x:v>Medium</x:v>
      </x:c>
      <x:c r="I204" s="23" t="str">
        <x:v>No</x:v>
      </x:c>
      <x:c r="J204" s="23" t="str"/>
      <x:c r="K204" s="23" t="str">
        <x:v>Required master data and user exist.</x:v>
      </x:c>
      <x:c r="L204" s="23" t="str">
        <x:v>Use dedicated non-production test data.</x:v>
      </x:c>
      <x:c r="M204" s="23" t="str">
        <x:v>1. Sign in as Developer Admin. 2. Submit and confirm a subscription upgrade. 3. Save or submit. 4. Refresh or reopen the record. 5. Compare the result with the pass condition.</x:v>
      </x:c>
      <x:c r="N204" s="23" t="str">
        <x:v>Plan changes once with traceable history.</x:v>
      </x:c>
      <x:c r="O204" s="26" t="str">
        <x:v>Not Run</x:v>
      </x:c>
      <x:c r="P204" s="26" t="str"/>
      <x:c r="Q204" s="26" t="str"/>
      <x:c r="R204" s="26" t="str"/>
      <x:c r="S204" s="26" t="str"/>
      <x:c r="T204" s="26" t="str"/>
      <x:c r="U204" s="26" t="str">
        <x:v>QA</x:v>
      </x:c>
      <x:c r="V204" s="26" t="str"/>
      <x:c r="W204" s="29" t="str"/>
      <x:c r="X204" s="26" t="str"/>
      <x:c r="Y204" s="26" t="str">
        <x:v>Not Required</x:v>
      </x:c>
      <x:c r="Z204" s="26" t="str"/>
      <x:c r="AA204" s="28" t="n">
        <x:f>IF(OR(O204="Passed",O204="Failed",O204="Blocked"),1,0)</x:f>
        <x:v>0</x:v>
      </x:c>
      <x:c r="AB204" s="28" t="n">
        <x:f>IF(O204="Passed",1,0)</x:f>
        <x:v>0</x:v>
      </x:c>
      <x:c r="AC204" s="28" t="n">
        <x:f>IF(AND(OR(R204="Critical",R204="High"),OR(O204="Failed",O204="Blocked"),S204&lt;&gt;"Closed",S204&lt;&gt;"Rejected"),1,0)</x:f>
        <x:v>0</x:v>
      </x:c>
      <x:c r="AD204" s="28" t="n">
        <x:f>IF(X204&lt;&gt;"",1,0)</x:f>
        <x:v>0</x:v>
      </x:c>
      <x:c r="AE204" s="28" t="n">
        <x:f>IF(J204&lt;&gt;"",1,0)</x:f>
        <x:v>0</x:v>
      </x:c>
    </x:row>
    <x:row r="205">
      <x:c r="A205" s="23" t="str">
        <x:v>L2-174</x:v>
      </x:c>
      <x:c r="B205" s="23" t="str">
        <x:v>Level 2</x:v>
      </x:c>
      <x:c r="C205" s="23" t="str">
        <x:v>Developer, Subscription &amp; Tenant</x:v>
      </x:c>
      <x:c r="D205" s="23" t="str"/>
      <x:c r="E205" s="23" t="str">
        <x:v>Addon request</x:v>
      </x:c>
      <x:c r="F205" s="23" t="str">
        <x:v>Functional</x:v>
      </x:c>
      <x:c r="G205" s="23" t="str">
        <x:v>Developer Admin</x:v>
      </x:c>
      <x:c r="H205" s="23" t="str">
        <x:v>Medium</x:v>
      </x:c>
      <x:c r="I205" s="23" t="str">
        <x:v>No</x:v>
      </x:c>
      <x:c r="J205" s="23" t="str"/>
      <x:c r="K205" s="23" t="str">
        <x:v>Required master data and user exist.</x:v>
      </x:c>
      <x:c r="L205" s="23" t="str">
        <x:v>Use dedicated non-production test data.</x:v>
      </x:c>
      <x:c r="M205" s="23" t="str">
        <x:v>1. Sign in as Developer Admin. 2. Submit and confirm an addon. 3. Save or submit. 4. Refresh or reopen the record. 5. Compare the result with the pass condition.</x:v>
      </x:c>
      <x:c r="N205" s="23" t="str">
        <x:v>Addon applies once and usage limits update.</x:v>
      </x:c>
      <x:c r="O205" s="26" t="str">
        <x:v>Not Run</x:v>
      </x:c>
      <x:c r="P205" s="26" t="str"/>
      <x:c r="Q205" s="26" t="str"/>
      <x:c r="R205" s="26" t="str"/>
      <x:c r="S205" s="26" t="str"/>
      <x:c r="T205" s="26" t="str"/>
      <x:c r="U205" s="26" t="str">
        <x:v>QA</x:v>
      </x:c>
      <x:c r="V205" s="26" t="str"/>
      <x:c r="W205" s="29" t="str"/>
      <x:c r="X205" s="26" t="str"/>
      <x:c r="Y205" s="26" t="str">
        <x:v>Not Required</x:v>
      </x:c>
      <x:c r="Z205" s="26" t="str"/>
      <x:c r="AA205" s="28" t="n">
        <x:f>IF(OR(O205="Passed",O205="Failed",O205="Blocked"),1,0)</x:f>
        <x:v>0</x:v>
      </x:c>
      <x:c r="AB205" s="28" t="n">
        <x:f>IF(O205="Passed",1,0)</x:f>
        <x:v>0</x:v>
      </x:c>
      <x:c r="AC205" s="28" t="n">
        <x:f>IF(AND(OR(R205="Critical",R205="High"),OR(O205="Failed",O205="Blocked"),S205&lt;&gt;"Closed",S205&lt;&gt;"Rejected"),1,0)</x:f>
        <x:v>0</x:v>
      </x:c>
      <x:c r="AD205" s="28" t="n">
        <x:f>IF(X205&lt;&gt;"",1,0)</x:f>
        <x:v>0</x:v>
      </x:c>
      <x:c r="AE205" s="28" t="n">
        <x:f>IF(J205&lt;&gt;"",1,0)</x:f>
        <x:v>0</x:v>
      </x:c>
    </x:row>
    <x:row r="206">
      <x:c r="A206" s="23" t="str">
        <x:v>L2-175</x:v>
      </x:c>
      <x:c r="B206" s="23" t="str">
        <x:v>Level 2</x:v>
      </x:c>
      <x:c r="C206" s="23" t="str">
        <x:v>Developer, Subscription &amp; Tenant</x:v>
      </x:c>
      <x:c r="D206" s="23" t="str"/>
      <x:c r="E206" s="23" t="str">
        <x:v>Tenant archive/delete</x:v>
      </x:c>
      <x:c r="F206" s="23" t="str">
        <x:v>Functional</x:v>
      </x:c>
      <x:c r="G206" s="23" t="str">
        <x:v>Developer Admin</x:v>
      </x:c>
      <x:c r="H206" s="23" t="str">
        <x:v>Medium</x:v>
      </x:c>
      <x:c r="I206" s="23" t="str">
        <x:v>No</x:v>
      </x:c>
      <x:c r="J206" s="23" t="str"/>
      <x:c r="K206" s="23" t="str">
        <x:v>Required master data and user exist.</x:v>
      </x:c>
      <x:c r="L206" s="23" t="str">
        <x:v>Use dedicated non-production test data.</x:v>
      </x:c>
      <x:c r="M206" s="23" t="str">
        <x:v>1. Sign in as Developer Admin. 2. Archive/delete a lab with data. 3. Save or submit. 4. Refresh or reopen the record. 5. Compare the result with the pass condition.</x:v>
      </x:c>
      <x:c r="N206" s="23" t="str">
        <x:v>Lifecycle policy protects or recovers data.</x:v>
      </x:c>
      <x:c r="O206" s="26" t="str">
        <x:v>Not Run</x:v>
      </x:c>
      <x:c r="P206" s="26" t="str"/>
      <x:c r="Q206" s="26" t="str"/>
      <x:c r="R206" s="26" t="str"/>
      <x:c r="S206" s="26" t="str"/>
      <x:c r="T206" s="26" t="str"/>
      <x:c r="U206" s="26" t="str">
        <x:v>QA</x:v>
      </x:c>
      <x:c r="V206" s="26" t="str"/>
      <x:c r="W206" s="29" t="str"/>
      <x:c r="X206" s="26" t="str"/>
      <x:c r="Y206" s="26" t="str">
        <x:v>Not Required</x:v>
      </x:c>
      <x:c r="Z206" s="26" t="str"/>
      <x:c r="AA206" s="28" t="n">
        <x:f>IF(OR(O206="Passed",O206="Failed",O206="Blocked"),1,0)</x:f>
        <x:v>0</x:v>
      </x:c>
      <x:c r="AB206" s="28" t="n">
        <x:f>IF(O206="Passed",1,0)</x:f>
        <x:v>0</x:v>
      </x:c>
      <x:c r="AC206" s="28" t="n">
        <x:f>IF(AND(OR(R206="Critical",R206="High"),OR(O206="Failed",O206="Blocked"),S206&lt;&gt;"Closed",S206&lt;&gt;"Rejected"),1,0)</x:f>
        <x:v>0</x:v>
      </x:c>
      <x:c r="AD206" s="28" t="n">
        <x:f>IF(X206&lt;&gt;"",1,0)</x:f>
        <x:v>0</x:v>
      </x:c>
      <x:c r="AE206" s="28" t="n">
        <x:f>IF(J206&lt;&gt;"",1,0)</x:f>
        <x:v>0</x:v>
      </x:c>
    </x:row>
    <x:row r="207">
      <x:c r="A207" s="23" t="str">
        <x:v>L2-176</x:v>
      </x:c>
      <x:c r="B207" s="23" t="str">
        <x:v>Level 2</x:v>
      </x:c>
      <x:c r="C207" s="23" t="str">
        <x:v>Developer, Subscription &amp; Tenant</x:v>
      </x:c>
      <x:c r="D207" s="23" t="str"/>
      <x:c r="E207" s="23" t="str">
        <x:v>Developer-only route</x:v>
      </x:c>
      <x:c r="F207" s="23" t="str">
        <x:v>Functional</x:v>
      </x:c>
      <x:c r="G207" s="23" t="str">
        <x:v>Developer Admin</x:v>
      </x:c>
      <x:c r="H207" s="23" t="str">
        <x:v>Medium</x:v>
      </x:c>
      <x:c r="I207" s="23" t="str">
        <x:v>No</x:v>
      </x:c>
      <x:c r="J207" s="23" t="str"/>
      <x:c r="K207" s="23" t="str">
        <x:v>Required master data and user exist.</x:v>
      </x:c>
      <x:c r="L207" s="23" t="str">
        <x:v>Use dedicated non-production test data.</x:v>
      </x:c>
      <x:c r="M207" s="23" t="str">
        <x:v>1. Sign in as Developer Admin. 2. Open developer routes as tenant staff. 3. Save or submit. 4. Refresh or reopen the record. 5. Compare the result with the pass condition.</x:v>
      </x:c>
      <x:c r="N207" s="23" t="str">
        <x:v>Access is denied.</x:v>
      </x:c>
      <x:c r="O207" s="26" t="str">
        <x:v>Not Run</x:v>
      </x:c>
      <x:c r="P207" s="26" t="str"/>
      <x:c r="Q207" s="26" t="str"/>
      <x:c r="R207" s="26" t="str"/>
      <x:c r="S207" s="26" t="str"/>
      <x:c r="T207" s="26" t="str"/>
      <x:c r="U207" s="26" t="str">
        <x:v>QA</x:v>
      </x:c>
      <x:c r="V207" s="26" t="str"/>
      <x:c r="W207" s="29" t="str"/>
      <x:c r="X207" s="26" t="str"/>
      <x:c r="Y207" s="26" t="str">
        <x:v>Not Required</x:v>
      </x:c>
      <x:c r="Z207" s="26" t="str"/>
      <x:c r="AA207" s="28" t="n">
        <x:f>IF(OR(O207="Passed",O207="Failed",O207="Blocked"),1,0)</x:f>
        <x:v>0</x:v>
      </x:c>
      <x:c r="AB207" s="28" t="n">
        <x:f>IF(O207="Passed",1,0)</x:f>
        <x:v>0</x:v>
      </x:c>
      <x:c r="AC207" s="28" t="n">
        <x:f>IF(AND(OR(R207="Critical",R207="High"),OR(O207="Failed",O207="Blocked"),S207&lt;&gt;"Closed",S207&lt;&gt;"Rejected"),1,0)</x:f>
        <x:v>0</x:v>
      </x:c>
      <x:c r="AD207" s="28" t="n">
        <x:f>IF(X207&lt;&gt;"",1,0)</x:f>
        <x:v>0</x:v>
      </x:c>
      <x:c r="AE207" s="28" t="n">
        <x:f>IF(J207&lt;&gt;"",1,0)</x:f>
        <x:v>0</x:v>
      </x:c>
    </x:row>
    <x:row r="208">
      <x:c r="A208" s="23" t="str">
        <x:v>L2-177</x:v>
      </x:c>
      <x:c r="B208" s="23" t="str">
        <x:v>Level 2</x:v>
      </x:c>
      <x:c r="C208" s="23" t="str">
        <x:v>Developer, Subscription &amp; Tenant</x:v>
      </x:c>
      <x:c r="D208" s="23" t="str"/>
      <x:c r="E208" s="23" t="str">
        <x:v>Cross-tenant search</x:v>
      </x:c>
      <x:c r="F208" s="23" t="str">
        <x:v>Security</x:v>
      </x:c>
      <x:c r="G208" s="23" t="str">
        <x:v>Developer Admin</x:v>
      </x:c>
      <x:c r="H208" s="23" t="str">
        <x:v>Critical</x:v>
      </x:c>
      <x:c r="I208" s="23" t="str">
        <x:v>Yes</x:v>
      </x:c>
      <x:c r="J208" s="23" t="str"/>
      <x:c r="K208" s="23" t="str">
        <x:v>Required master data and user exist.</x:v>
      </x:c>
      <x:c r="L208" s="23" t="str">
        <x:v>Use dedicated non-production test data.</x:v>
      </x:c>
      <x:c r="M208" s="23" t="str">
        <x:v>1. Sign in as Developer Admin. 2. Search tenant IDs from another tenant session. 3. Save or submit. 4. Refresh or reopen the record. 5. Compare the result with the pass condition.</x:v>
      </x:c>
      <x:c r="N208" s="23" t="str">
        <x:v>No other tenant data appears.</x:v>
      </x:c>
      <x:c r="O208" s="26" t="str">
        <x:v>Not Run</x:v>
      </x:c>
      <x:c r="P208" s="26" t="str"/>
      <x:c r="Q208" s="26" t="str"/>
      <x:c r="R208" s="26" t="str"/>
      <x:c r="S208" s="26" t="str"/>
      <x:c r="T208" s="26" t="str"/>
      <x:c r="U208" s="26" t="str">
        <x:v>QA</x:v>
      </x:c>
      <x:c r="V208" s="26" t="str"/>
      <x:c r="W208" s="29" t="str"/>
      <x:c r="X208" s="26" t="str"/>
      <x:c r="Y208" s="26" t="str">
        <x:v>Not Required</x:v>
      </x:c>
      <x:c r="Z208" s="26" t="str"/>
      <x:c r="AA208" s="28" t="n">
        <x:f>IF(OR(O208="Passed",O208="Failed",O208="Blocked"),1,0)</x:f>
        <x:v>0</x:v>
      </x:c>
      <x:c r="AB208" s="28" t="n">
        <x:f>IF(O208="Passed",1,0)</x:f>
        <x:v>0</x:v>
      </x:c>
      <x:c r="AC208" s="28" t="n">
        <x:f>IF(AND(OR(R208="Critical",R208="High"),OR(O208="Failed",O208="Blocked"),S208&lt;&gt;"Closed",S208&lt;&gt;"Rejected"),1,0)</x:f>
        <x:v>0</x:v>
      </x:c>
      <x:c r="AD208" s="28" t="n">
        <x:f>IF(X208&lt;&gt;"",1,0)</x:f>
        <x:v>0</x:v>
      </x:c>
      <x:c r="AE208" s="28" t="n">
        <x:f>IF(J208&lt;&gt;"",1,0)</x:f>
        <x:v>0</x:v>
      </x:c>
    </x:row>
    <x:row r="209">
      <x:c r="A209" s="23" t="str">
        <x:v>L2-178</x:v>
      </x:c>
      <x:c r="B209" s="23" t="str">
        <x:v>Level 2</x:v>
      </x:c>
      <x:c r="C209" s="23" t="str">
        <x:v>Developer, Subscription &amp; Tenant</x:v>
      </x:c>
      <x:c r="D209" s="23" t="str"/>
      <x:c r="E209" s="23" t="str">
        <x:v>Developer audit</x:v>
      </x:c>
      <x:c r="F209" s="23" t="str">
        <x:v>Functional</x:v>
      </x:c>
      <x:c r="G209" s="23" t="str">
        <x:v>Developer Admin</x:v>
      </x:c>
      <x:c r="H209" s="23" t="str">
        <x:v>Medium</x:v>
      </x:c>
      <x:c r="I209" s="23" t="str">
        <x:v>No</x:v>
      </x:c>
      <x:c r="J209" s="23" t="str">
        <x:v>Developer audit events</x:v>
      </x:c>
      <x:c r="K209" s="23" t="str">
        <x:v>Required master data and user exist.</x:v>
      </x:c>
      <x:c r="L209" s="23" t="str">
        <x:v>Use dedicated non-production test data.</x:v>
      </x:c>
      <x:c r="M209" s="23" t="str">
        <x:v>1. Sign in as Developer Admin. 2. Create, disable and change a tenant plan. 3. Save or submit. 4. Refresh or reopen the record. 5. Compare the result with the pass condition.</x:v>
      </x:c>
      <x:c r="N209" s="23" t="str">
        <x:v>Developer actions are auditable.</x:v>
      </x:c>
      <x:c r="O209" s="26" t="str">
        <x:v>Not Run</x:v>
      </x:c>
      <x:c r="P209" s="26" t="str"/>
      <x:c r="Q209" s="26" t="str"/>
      <x:c r="R209" s="26" t="str"/>
      <x:c r="S209" s="26" t="str"/>
      <x:c r="T209" s="26" t="str"/>
      <x:c r="U209" s="26" t="str">
        <x:v>QA</x:v>
      </x:c>
      <x:c r="V209" s="26" t="str"/>
      <x:c r="W209" s="29" t="str"/>
      <x:c r="X209" s="26" t="str"/>
      <x:c r="Y209" s="26" t="str">
        <x:v>Not Required</x:v>
      </x:c>
      <x:c r="Z209" s="26" t="str"/>
      <x:c r="AA209" s="28" t="n">
        <x:f>IF(OR(O209="Passed",O209="Failed",O209="Blocked"),1,0)</x:f>
        <x:v>0</x:v>
      </x:c>
      <x:c r="AB209" s="28" t="n">
        <x:f>IF(O209="Passed",1,0)</x:f>
        <x:v>0</x:v>
      </x:c>
      <x:c r="AC209" s="28" t="n">
        <x:f>IF(AND(OR(R209="Critical",R209="High"),OR(O209="Failed",O209="Blocked"),S209&lt;&gt;"Closed",S209&lt;&gt;"Rejected"),1,0)</x:f>
        <x:v>0</x:v>
      </x:c>
      <x:c r="AD209" s="28" t="n">
        <x:f>IF(X209&lt;&gt;"",1,0)</x:f>
        <x:v>0</x:v>
      </x:c>
      <x:c r="AE209" s="28" t="n">
        <x:f>IF(J209&lt;&gt;"",1,0)</x:f>
        <x:v>1</x:v>
      </x:c>
    </x:row>
    <x:row r="210">
      <x:c r="A210" s="23" t="str">
        <x:v>L3-001</x:v>
      </x:c>
      <x:c r="B210" s="23" t="str">
        <x:v>Level 3</x:v>
      </x:c>
      <x:c r="C210" s="23" t="str">
        <x:v>Security</x:v>
      </x:c>
      <x:c r="D210" s="23" t="str"/>
      <x:c r="E210" s="23" t="str">
        <x:v>Broken object authorization</x:v>
      </x:c>
      <x:c r="F210" s="23" t="str">
        <x:v>Security</x:v>
      </x:c>
      <x:c r="G210" s="23" t="str">
        <x:v>Security Tester</x:v>
      </x:c>
      <x:c r="H210" s="23" t="str">
        <x:v>Critical</x:v>
      </x:c>
      <x:c r="I210" s="23" t="str">
        <x:v>Yes</x:v>
      </x:c>
      <x:c r="J210" s="23" t="str"/>
      <x:c r="K210" s="23" t="str">
        <x:v>Required master data and user exist.</x:v>
      </x:c>
      <x:c r="L210" s="23" t="str">
        <x:v>Use dedicated non-production test data.</x:v>
      </x:c>
      <x:c r="M210" s="23" t="str">
        <x:v>1. Sign in as Security Tester. 2. Change patient, bill, sample, report, doctor and account IDs in requests. 3. Save or submit. 4. Refresh or reopen the record. 5. Compare the result with the pass condition.</x:v>
      </x:c>
      <x:c r="N210" s="23" t="str">
        <x:v>Every unauthorized object request is denied without data leakage.</x:v>
      </x:c>
      <x:c r="O210" s="26" t="str">
        <x:v>Not Run</x:v>
      </x:c>
      <x:c r="P210" s="26" t="str"/>
      <x:c r="Q210" s="26" t="str"/>
      <x:c r="R210" s="26" t="str"/>
      <x:c r="S210" s="26" t="str"/>
      <x:c r="T210" s="26" t="str"/>
      <x:c r="U210" s="26" t="str">
        <x:v>QA</x:v>
      </x:c>
      <x:c r="V210" s="26" t="str"/>
      <x:c r="W210" s="29" t="str"/>
      <x:c r="X210" s="26" t="str"/>
      <x:c r="Y210" s="26" t="str">
        <x:v>Not Required</x:v>
      </x:c>
      <x:c r="Z210" s="26" t="str"/>
      <x:c r="AA210" s="28" t="n">
        <x:f>IF(OR(O210="Passed",O210="Failed",O210="Blocked"),1,0)</x:f>
        <x:v>0</x:v>
      </x:c>
      <x:c r="AB210" s="28" t="n">
        <x:f>IF(O210="Passed",1,0)</x:f>
        <x:v>0</x:v>
      </x:c>
      <x:c r="AC210" s="28" t="n">
        <x:f>IF(AND(OR(R210="Critical",R210="High"),OR(O210="Failed",O210="Blocked"),S210&lt;&gt;"Closed",S210&lt;&gt;"Rejected"),1,0)</x:f>
        <x:v>0</x:v>
      </x:c>
      <x:c r="AD210" s="28" t="n">
        <x:f>IF(X210&lt;&gt;"",1,0)</x:f>
        <x:v>0</x:v>
      </x:c>
      <x:c r="AE210" s="28" t="n">
        <x:f>IF(J210&lt;&gt;"",1,0)</x:f>
        <x:v>0</x:v>
      </x:c>
    </x:row>
    <x:row r="211">
      <x:c r="A211" s="23" t="str">
        <x:v>L3-002</x:v>
      </x:c>
      <x:c r="B211" s="23" t="str">
        <x:v>Level 3</x:v>
      </x:c>
      <x:c r="C211" s="23" t="str">
        <x:v>Security</x:v>
      </x:c>
      <x:c r="D211" s="23" t="str"/>
      <x:c r="E211" s="23" t="str">
        <x:v>Cross-tenant authorization</x:v>
      </x:c>
      <x:c r="F211" s="23" t="str">
        <x:v>Security</x:v>
      </x:c>
      <x:c r="G211" s="23" t="str">
        <x:v>Security Tester</x:v>
      </x:c>
      <x:c r="H211" s="23" t="str">
        <x:v>Critical</x:v>
      </x:c>
      <x:c r="I211" s="23" t="str">
        <x:v>Yes</x:v>
      </x:c>
      <x:c r="J211" s="23" t="str"/>
      <x:c r="K211" s="23" t="str">
        <x:v>Required master data and user exist.</x:v>
      </x:c>
      <x:c r="L211" s="23" t="str">
        <x:v>Use dedicated non-production test data.</x:v>
      </x:c>
      <x:c r="M211" s="23" t="str">
        <x:v>1. Sign in as Security Tester. 2. Replay valid requests with IDs from another tenant. 3. Save or submit. 4. Refresh or reopen the record. 5. Compare the result with the pass condition.</x:v>
      </x:c>
      <x:c r="N211" s="23" t="str">
        <x:v>Tenant isolation holds for every tested API.</x:v>
      </x:c>
      <x:c r="O211" s="26" t="str">
        <x:v>Not Run</x:v>
      </x:c>
      <x:c r="P211" s="26" t="str"/>
      <x:c r="Q211" s="26" t="str"/>
      <x:c r="R211" s="26" t="str"/>
      <x:c r="S211" s="26" t="str"/>
      <x:c r="T211" s="26" t="str"/>
      <x:c r="U211" s="26" t="str">
        <x:v>QA</x:v>
      </x:c>
      <x:c r="V211" s="26" t="str"/>
      <x:c r="W211" s="29" t="str"/>
      <x:c r="X211" s="26" t="str"/>
      <x:c r="Y211" s="26" t="str">
        <x:v>Not Required</x:v>
      </x:c>
      <x:c r="Z211" s="26" t="str"/>
      <x:c r="AA211" s="28" t="n">
        <x:f>IF(OR(O211="Passed",O211="Failed",O211="Blocked"),1,0)</x:f>
        <x:v>0</x:v>
      </x:c>
      <x:c r="AB211" s="28" t="n">
        <x:f>IF(O211="Passed",1,0)</x:f>
        <x:v>0</x:v>
      </x:c>
      <x:c r="AC211" s="28" t="n">
        <x:f>IF(AND(OR(R211="Critical",R211="High"),OR(O211="Failed",O211="Blocked"),S211&lt;&gt;"Closed",S211&lt;&gt;"Rejected"),1,0)</x:f>
        <x:v>0</x:v>
      </x:c>
      <x:c r="AD211" s="28" t="n">
        <x:f>IF(X211&lt;&gt;"",1,0)</x:f>
        <x:v>0</x:v>
      </x:c>
      <x:c r="AE211" s="28" t="n">
        <x:f>IF(J211&lt;&gt;"",1,0)</x:f>
        <x:v>0</x:v>
      </x:c>
    </x:row>
    <x:row r="212">
      <x:c r="A212" s="23" t="str">
        <x:v>L3-003</x:v>
      </x:c>
      <x:c r="B212" s="23" t="str">
        <x:v>Level 3</x:v>
      </x:c>
      <x:c r="C212" s="23" t="str">
        <x:v>Security</x:v>
      </x:c>
      <x:c r="D212" s="23" t="str"/>
      <x:c r="E212" s="23" t="str">
        <x:v>Role escalation</x:v>
      </x:c>
      <x:c r="F212" s="23" t="str">
        <x:v>Security</x:v>
      </x:c>
      <x:c r="G212" s="23" t="str">
        <x:v>Security Tester</x:v>
      </x:c>
      <x:c r="H212" s="23" t="str">
        <x:v>Critical</x:v>
      </x:c>
      <x:c r="I212" s="23" t="str">
        <x:v>Yes</x:v>
      </x:c>
      <x:c r="J212" s="23" t="str"/>
      <x:c r="K212" s="23" t="str">
        <x:v>Required master data and user exist.</x:v>
      </x:c>
      <x:c r="L212" s="23" t="str">
        <x:v>Use dedicated non-production test data.</x:v>
      </x:c>
      <x:c r="M212" s="23" t="str">
        <x:v>1. Sign in as Security Tester. 2. Modify client payloads/cookies and call admin/refund/release APIs. 3. Save or submit. 4. Refresh or reopen the record. 5. Compare the result with the pass condition.</x:v>
      </x:c>
      <x:c r="N212" s="23" t="str">
        <x:v>Server-side authorization prevents escalation.</x:v>
      </x:c>
      <x:c r="O212" s="26" t="str">
        <x:v>Not Run</x:v>
      </x:c>
      <x:c r="P212" s="26" t="str"/>
      <x:c r="Q212" s="26" t="str"/>
      <x:c r="R212" s="26" t="str"/>
      <x:c r="S212" s="26" t="str"/>
      <x:c r="T212" s="26" t="str"/>
      <x:c r="U212" s="26" t="str">
        <x:v>QA</x:v>
      </x:c>
      <x:c r="V212" s="26" t="str"/>
      <x:c r="W212" s="29" t="str"/>
      <x:c r="X212" s="26" t="str"/>
      <x:c r="Y212" s="26" t="str">
        <x:v>Not Required</x:v>
      </x:c>
      <x:c r="Z212" s="26" t="str"/>
      <x:c r="AA212" s="28" t="n">
        <x:f>IF(OR(O212="Passed",O212="Failed",O212="Blocked"),1,0)</x:f>
        <x:v>0</x:v>
      </x:c>
      <x:c r="AB212" s="28" t="n">
        <x:f>IF(O212="Passed",1,0)</x:f>
        <x:v>0</x:v>
      </x:c>
      <x:c r="AC212" s="28" t="n">
        <x:f>IF(AND(OR(R212="Critical",R212="High"),OR(O212="Failed",O212="Blocked"),S212&lt;&gt;"Closed",S212&lt;&gt;"Rejected"),1,0)</x:f>
        <x:v>0</x:v>
      </x:c>
      <x:c r="AD212" s="28" t="n">
        <x:f>IF(X212&lt;&gt;"",1,0)</x:f>
        <x:v>0</x:v>
      </x:c>
      <x:c r="AE212" s="28" t="n">
        <x:f>IF(J212&lt;&gt;"",1,0)</x:f>
        <x:v>0</x:v>
      </x:c>
    </x:row>
    <x:row r="213">
      <x:c r="A213" s="23" t="str">
        <x:v>L3-004</x:v>
      </x:c>
      <x:c r="B213" s="23" t="str">
        <x:v>Level 3</x:v>
      </x:c>
      <x:c r="C213" s="23" t="str">
        <x:v>Security</x:v>
      </x:c>
      <x:c r="D213" s="23" t="str"/>
      <x:c r="E213" s="23" t="str">
        <x:v>Session fixation</x:v>
      </x:c>
      <x:c r="F213" s="23" t="str">
        <x:v>Security</x:v>
      </x:c>
      <x:c r="G213" s="23" t="str">
        <x:v>Security Tester</x:v>
      </x:c>
      <x:c r="H213" s="23" t="str">
        <x:v>Critical</x:v>
      </x:c>
      <x:c r="I213" s="23" t="str">
        <x:v>Yes</x:v>
      </x:c>
      <x:c r="J213" s="23" t="str"/>
      <x:c r="K213" s="23" t="str">
        <x:v>Required master data and user exist.</x:v>
      </x:c>
      <x:c r="L213" s="23" t="str">
        <x:v>Use dedicated non-production test data.</x:v>
      </x:c>
      <x:c r="M213" s="23" t="str">
        <x:v>1. Sign in as Security Tester. 2. Compare session before and after login/activation. 3. Save or submit. 4. Refresh or reopen the record. 5. Compare the result with the pass condition.</x:v>
      </x:c>
      <x:c r="N213" s="23" t="str">
        <x:v>Authentication rotates or safely establishes the session.</x:v>
      </x:c>
      <x:c r="O213" s="26" t="str">
        <x:v>Not Run</x:v>
      </x:c>
      <x:c r="P213" s="26" t="str"/>
      <x:c r="Q213" s="26" t="str"/>
      <x:c r="R213" s="26" t="str"/>
      <x:c r="S213" s="26" t="str"/>
      <x:c r="T213" s="26" t="str"/>
      <x:c r="U213" s="26" t="str">
        <x:v>QA</x:v>
      </x:c>
      <x:c r="V213" s="26" t="str"/>
      <x:c r="W213" s="29" t="str"/>
      <x:c r="X213" s="26" t="str"/>
      <x:c r="Y213" s="26" t="str">
        <x:v>Not Required</x:v>
      </x:c>
      <x:c r="Z213" s="26" t="str"/>
      <x:c r="AA213" s="28" t="n">
        <x:f>IF(OR(O213="Passed",O213="Failed",O213="Blocked"),1,0)</x:f>
        <x:v>0</x:v>
      </x:c>
      <x:c r="AB213" s="28" t="n">
        <x:f>IF(O213="Passed",1,0)</x:f>
        <x:v>0</x:v>
      </x:c>
      <x:c r="AC213" s="28" t="n">
        <x:f>IF(AND(OR(R213="Critical",R213="High"),OR(O213="Failed",O213="Blocked"),S213&lt;&gt;"Closed",S213&lt;&gt;"Rejected"),1,0)</x:f>
        <x:v>0</x:v>
      </x:c>
      <x:c r="AD213" s="28" t="n">
        <x:f>IF(X213&lt;&gt;"",1,0)</x:f>
        <x:v>0</x:v>
      </x:c>
      <x:c r="AE213" s="28" t="n">
        <x:f>IF(J213&lt;&gt;"",1,0)</x:f>
        <x:v>0</x:v>
      </x:c>
    </x:row>
    <x:row r="214">
      <x:c r="A214" s="23" t="str">
        <x:v>L3-005</x:v>
      </x:c>
      <x:c r="B214" s="23" t="str">
        <x:v>Level 3</x:v>
      </x:c>
      <x:c r="C214" s="23" t="str">
        <x:v>Security</x:v>
      </x:c>
      <x:c r="D214" s="23" t="str"/>
      <x:c r="E214" s="23" t="str">
        <x:v>Cookie security</x:v>
      </x:c>
      <x:c r="F214" s="23" t="str">
        <x:v>Security</x:v>
      </x:c>
      <x:c r="G214" s="23" t="str">
        <x:v>Security Tester</x:v>
      </x:c>
      <x:c r="H214" s="23" t="str">
        <x:v>Critical</x:v>
      </x:c>
      <x:c r="I214" s="23" t="str">
        <x:v>Yes</x:v>
      </x:c>
      <x:c r="J214" s="23" t="str"/>
      <x:c r="K214" s="23" t="str">
        <x:v>Required master data and user exist.</x:v>
      </x:c>
      <x:c r="L214" s="23" t="str">
        <x:v>Use dedicated non-production test data.</x:v>
      </x:c>
      <x:c r="M214" s="23" t="str">
        <x:v>1. Sign in as Security Tester. 2. Inspect all staff, doctor and patient cookies. 3. Save or submit. 4. Refresh or reopen the record. 5. Compare the result with the pass condition.</x:v>
      </x:c>
      <x:c r="N214" s="23" t="str">
        <x:v>Secure, HttpOnly and appropriate SameSite/scope are applied.</x:v>
      </x:c>
      <x:c r="O214" s="26" t="str">
        <x:v>Not Run</x:v>
      </x:c>
      <x:c r="P214" s="26" t="str"/>
      <x:c r="Q214" s="26" t="str"/>
      <x:c r="R214" s="26" t="str"/>
      <x:c r="S214" s="26" t="str"/>
      <x:c r="T214" s="26" t="str"/>
      <x:c r="U214" s="26" t="str">
        <x:v>QA</x:v>
      </x:c>
      <x:c r="V214" s="26" t="str"/>
      <x:c r="W214" s="29" t="str"/>
      <x:c r="X214" s="26" t="str"/>
      <x:c r="Y214" s="26" t="str">
        <x:v>Not Required</x:v>
      </x:c>
      <x:c r="Z214" s="26" t="str"/>
      <x:c r="AA214" s="28" t="n">
        <x:f>IF(OR(O214="Passed",O214="Failed",O214="Blocked"),1,0)</x:f>
        <x:v>0</x:v>
      </x:c>
      <x:c r="AB214" s="28" t="n">
        <x:f>IF(O214="Passed",1,0)</x:f>
        <x:v>0</x:v>
      </x:c>
      <x:c r="AC214" s="28" t="n">
        <x:f>IF(AND(OR(R214="Critical",R214="High"),OR(O214="Failed",O214="Blocked"),S214&lt;&gt;"Closed",S214&lt;&gt;"Rejected"),1,0)</x:f>
        <x:v>0</x:v>
      </x:c>
      <x:c r="AD214" s="28" t="n">
        <x:f>IF(X214&lt;&gt;"",1,0)</x:f>
        <x:v>0</x:v>
      </x:c>
      <x:c r="AE214" s="28" t="n">
        <x:f>IF(J214&lt;&gt;"",1,0)</x:f>
        <x:v>0</x:v>
      </x:c>
    </x:row>
    <x:row r="215">
      <x:c r="A215" s="23" t="str">
        <x:v>L3-006</x:v>
      </x:c>
      <x:c r="B215" s="23" t="str">
        <x:v>Level 3</x:v>
      </x:c>
      <x:c r="C215" s="23" t="str">
        <x:v>Security</x:v>
      </x:c>
      <x:c r="D215" s="23" t="str"/>
      <x:c r="E215" s="23" t="str">
        <x:v>CSRF-sensitive actions</x:v>
      </x:c>
      <x:c r="F215" s="23" t="str">
        <x:v>Security</x:v>
      </x:c>
      <x:c r="G215" s="23" t="str">
        <x:v>Security Tester</x:v>
      </x:c>
      <x:c r="H215" s="23" t="str">
        <x:v>Critical</x:v>
      </x:c>
      <x:c r="I215" s="23" t="str">
        <x:v>Yes</x:v>
      </x:c>
      <x:c r="J215" s="23" t="str"/>
      <x:c r="K215" s="23" t="str">
        <x:v>Required master data and user exist.</x:v>
      </x:c>
      <x:c r="L215" s="23" t="str">
        <x:v>Use dedicated non-production test data.</x:v>
      </x:c>
      <x:c r="M215" s="23" t="str">
        <x:v>1. Sign in as Security Tester. 2. Attempt cross-site state-changing requests. 3. Save or submit. 4. Refresh or reopen the record. 5. Compare the result with the pass condition.</x:v>
      </x:c>
      <x:c r="N215" s="23" t="str">
        <x:v>Requests are blocked by the implemented session/CSRF design.</x:v>
      </x:c>
      <x:c r="O215" s="26" t="str">
        <x:v>Not Run</x:v>
      </x:c>
      <x:c r="P215" s="26" t="str"/>
      <x:c r="Q215" s="26" t="str"/>
      <x:c r="R215" s="26" t="str"/>
      <x:c r="S215" s="26" t="str"/>
      <x:c r="T215" s="26" t="str"/>
      <x:c r="U215" s="26" t="str">
        <x:v>QA</x:v>
      </x:c>
      <x:c r="V215" s="26" t="str"/>
      <x:c r="W215" s="29" t="str"/>
      <x:c r="X215" s="26" t="str"/>
      <x:c r="Y215" s="26" t="str">
        <x:v>Not Required</x:v>
      </x:c>
      <x:c r="Z215" s="26" t="str"/>
      <x:c r="AA215" s="28" t="n">
        <x:f>IF(OR(O215="Passed",O215="Failed",O215="Blocked"),1,0)</x:f>
        <x:v>0</x:v>
      </x:c>
      <x:c r="AB215" s="28" t="n">
        <x:f>IF(O215="Passed",1,0)</x:f>
        <x:v>0</x:v>
      </x:c>
      <x:c r="AC215" s="28" t="n">
        <x:f>IF(AND(OR(R215="Critical",R215="High"),OR(O215="Failed",O215="Blocked"),S215&lt;&gt;"Closed",S215&lt;&gt;"Rejected"),1,0)</x:f>
        <x:v>0</x:v>
      </x:c>
      <x:c r="AD215" s="28" t="n">
        <x:f>IF(X215&lt;&gt;"",1,0)</x:f>
        <x:v>0</x:v>
      </x:c>
      <x:c r="AE215" s="28" t="n">
        <x:f>IF(J215&lt;&gt;"",1,0)</x:f>
        <x:v>0</x:v>
      </x:c>
    </x:row>
    <x:row r="216">
      <x:c r="A216" s="23" t="str">
        <x:v>L3-007</x:v>
      </x:c>
      <x:c r="B216" s="23" t="str">
        <x:v>Level 3</x:v>
      </x:c>
      <x:c r="C216" s="23" t="str">
        <x:v>Security</x:v>
      </x:c>
      <x:c r="D216" s="23" t="str"/>
      <x:c r="E216" s="23" t="str">
        <x:v>Injection inputs</x:v>
      </x:c>
      <x:c r="F216" s="23" t="str">
        <x:v>Security</x:v>
      </x:c>
      <x:c r="G216" s="23" t="str">
        <x:v>Security Tester</x:v>
      </x:c>
      <x:c r="H216" s="23" t="str">
        <x:v>Critical</x:v>
      </x:c>
      <x:c r="I216" s="23" t="str">
        <x:v>Yes</x:v>
      </x:c>
      <x:c r="J216" s="23" t="str"/>
      <x:c r="K216" s="23" t="str">
        <x:v>Required master data and user exist.</x:v>
      </x:c>
      <x:c r="L216" s="23" t="str">
        <x:v>Use dedicated non-production test data.</x:v>
      </x:c>
      <x:c r="M216" s="23" t="str">
        <x:v>1. Sign in as Security Tester. 2. Submit SQL/NoSQL/operator/script payloads in search and forms. 3. Save or submit. 4. Refresh or reopen the record. 5. Compare the result with the pass condition.</x:v>
      </x:c>
      <x:c r="N216" s="23" t="str">
        <x:v>Input is validated/escaped and data is not exposed or changed.</x:v>
      </x:c>
      <x:c r="O216" s="26" t="str">
        <x:v>Not Run</x:v>
      </x:c>
      <x:c r="P216" s="26" t="str"/>
      <x:c r="Q216" s="26" t="str"/>
      <x:c r="R216" s="26" t="str"/>
      <x:c r="S216" s="26" t="str"/>
      <x:c r="T216" s="26" t="str"/>
      <x:c r="U216" s="26" t="str">
        <x:v>QA</x:v>
      </x:c>
      <x:c r="V216" s="26" t="str"/>
      <x:c r="W216" s="29" t="str"/>
      <x:c r="X216" s="26" t="str"/>
      <x:c r="Y216" s="26" t="str">
        <x:v>Not Required</x:v>
      </x:c>
      <x:c r="Z216" s="26" t="str"/>
      <x:c r="AA216" s="28" t="n">
        <x:f>IF(OR(O216="Passed",O216="Failed",O216="Blocked"),1,0)</x:f>
        <x:v>0</x:v>
      </x:c>
      <x:c r="AB216" s="28" t="n">
        <x:f>IF(O216="Passed",1,0)</x:f>
        <x:v>0</x:v>
      </x:c>
      <x:c r="AC216" s="28" t="n">
        <x:f>IF(AND(OR(R216="Critical",R216="High"),OR(O216="Failed",O216="Blocked"),S216&lt;&gt;"Closed",S216&lt;&gt;"Rejected"),1,0)</x:f>
        <x:v>0</x:v>
      </x:c>
      <x:c r="AD216" s="28" t="n">
        <x:f>IF(X216&lt;&gt;"",1,0)</x:f>
        <x:v>0</x:v>
      </x:c>
      <x:c r="AE216" s="28" t="n">
        <x:f>IF(J216&lt;&gt;"",1,0)</x:f>
        <x:v>0</x:v>
      </x:c>
    </x:row>
    <x:row r="217">
      <x:c r="A217" s="23" t="str">
        <x:v>L3-008</x:v>
      </x:c>
      <x:c r="B217" s="23" t="str">
        <x:v>Level 3</x:v>
      </x:c>
      <x:c r="C217" s="23" t="str">
        <x:v>Security</x:v>
      </x:c>
      <x:c r="D217" s="23" t="str"/>
      <x:c r="E217" s="23" t="str">
        <x:v>Stored XSS</x:v>
      </x:c>
      <x:c r="F217" s="23" t="str">
        <x:v>Security</x:v>
      </x:c>
      <x:c r="G217" s="23" t="str">
        <x:v>Security Tester</x:v>
      </x:c>
      <x:c r="H217" s="23" t="str">
        <x:v>Critical</x:v>
      </x:c>
      <x:c r="I217" s="23" t="str">
        <x:v>Yes</x:v>
      </x:c>
      <x:c r="J217" s="23" t="str"/>
      <x:c r="K217" s="23" t="str">
        <x:v>Required master data and user exist.</x:v>
      </x:c>
      <x:c r="L217" s="23" t="str">
        <x:v>Use dedicated non-production test data.</x:v>
      </x:c>
      <x:c r="M217" s="23" t="str">
        <x:v>1. Sign in as Security Tester. 2. Save script/HTML payloads in names, notes and remarks. 3. Save or submit. 4. Refresh or reopen the record. 5. Compare the result with the pass condition.</x:v>
      </x:c>
      <x:c r="N217" s="23" t="str">
        <x:v>Payload renders as safe text or is sanitized.</x:v>
      </x:c>
      <x:c r="O217" s="26" t="str">
        <x:v>Not Run</x:v>
      </x:c>
      <x:c r="P217" s="26" t="str"/>
      <x:c r="Q217" s="26" t="str"/>
      <x:c r="R217" s="26" t="str"/>
      <x:c r="S217" s="26" t="str"/>
      <x:c r="T217" s="26" t="str"/>
      <x:c r="U217" s="26" t="str">
        <x:v>QA</x:v>
      </x:c>
      <x:c r="V217" s="26" t="str"/>
      <x:c r="W217" s="29" t="str"/>
      <x:c r="X217" s="26" t="str"/>
      <x:c r="Y217" s="26" t="str">
        <x:v>Not Required</x:v>
      </x:c>
      <x:c r="Z217" s="26" t="str"/>
      <x:c r="AA217" s="28" t="n">
        <x:f>IF(OR(O217="Passed",O217="Failed",O217="Blocked"),1,0)</x:f>
        <x:v>0</x:v>
      </x:c>
      <x:c r="AB217" s="28" t="n">
        <x:f>IF(O217="Passed",1,0)</x:f>
        <x:v>0</x:v>
      </x:c>
      <x:c r="AC217" s="28" t="n">
        <x:f>IF(AND(OR(R217="Critical",R217="High"),OR(O217="Failed",O217="Blocked"),S217&lt;&gt;"Closed",S217&lt;&gt;"Rejected"),1,0)</x:f>
        <x:v>0</x:v>
      </x:c>
      <x:c r="AD217" s="28" t="n">
        <x:f>IF(X217&lt;&gt;"",1,0)</x:f>
        <x:v>0</x:v>
      </x:c>
      <x:c r="AE217" s="28" t="n">
        <x:f>IF(J217&lt;&gt;"",1,0)</x:f>
        <x:v>0</x:v>
      </x:c>
    </x:row>
    <x:row r="218">
      <x:c r="A218" s="23" t="str">
        <x:v>L3-009</x:v>
      </x:c>
      <x:c r="B218" s="23" t="str">
        <x:v>Level 3</x:v>
      </x:c>
      <x:c r="C218" s="23" t="str">
        <x:v>Security</x:v>
      </x:c>
      <x:c r="D218" s="23" t="str"/>
      <x:c r="E218" s="23" t="str">
        <x:v>File upload validation</x:v>
      </x:c>
      <x:c r="F218" s="23" t="str">
        <x:v>Security</x:v>
      </x:c>
      <x:c r="G218" s="23" t="str">
        <x:v>Security Tester</x:v>
      </x:c>
      <x:c r="H218" s="23" t="str">
        <x:v>Critical</x:v>
      </x:c>
      <x:c r="I218" s="23" t="str">
        <x:v>Yes</x:v>
      </x:c>
      <x:c r="J218" s="23" t="str"/>
      <x:c r="K218" s="23" t="str">
        <x:v>Required master data and user exist.</x:v>
      </x:c>
      <x:c r="L218" s="23" t="str">
        <x:v>Use dedicated non-production test data.</x:v>
      </x:c>
      <x:c r="M218" s="23" t="str">
        <x:v>1. Sign in as Security Tester. 2. Upload oversized, wrong-type and disguised files/images. 3. Save or submit. 4. Refresh or reopen the record. 5. Compare the result with the pass condition.</x:v>
      </x:c>
      <x:c r="N218" s="23" t="str">
        <x:v>Unsafe files are rejected and allowed files are isolated.</x:v>
      </x:c>
      <x:c r="O218" s="26" t="str">
        <x:v>Not Run</x:v>
      </x:c>
      <x:c r="P218" s="26" t="str"/>
      <x:c r="Q218" s="26" t="str"/>
      <x:c r="R218" s="26" t="str"/>
      <x:c r="S218" s="26" t="str"/>
      <x:c r="T218" s="26" t="str"/>
      <x:c r="U218" s="26" t="str">
        <x:v>QA</x:v>
      </x:c>
      <x:c r="V218" s="26" t="str"/>
      <x:c r="W218" s="29" t="str"/>
      <x:c r="X218" s="26" t="str"/>
      <x:c r="Y218" s="26" t="str">
        <x:v>Not Required</x:v>
      </x:c>
      <x:c r="Z218" s="26" t="str"/>
      <x:c r="AA218" s="28" t="n">
        <x:f>IF(OR(O218="Passed",O218="Failed",O218="Blocked"),1,0)</x:f>
        <x:v>0</x:v>
      </x:c>
      <x:c r="AB218" s="28" t="n">
        <x:f>IF(O218="Passed",1,0)</x:f>
        <x:v>0</x:v>
      </x:c>
      <x:c r="AC218" s="28" t="n">
        <x:f>IF(AND(OR(R218="Critical",R218="High"),OR(O218="Failed",O218="Blocked"),S218&lt;&gt;"Closed",S218&lt;&gt;"Rejected"),1,0)</x:f>
        <x:v>0</x:v>
      </x:c>
      <x:c r="AD218" s="28" t="n">
        <x:f>IF(X218&lt;&gt;"",1,0)</x:f>
        <x:v>0</x:v>
      </x:c>
      <x:c r="AE218" s="28" t="n">
        <x:f>IF(J218&lt;&gt;"",1,0)</x:f>
        <x:v>0</x:v>
      </x:c>
    </x:row>
    <x:row r="219">
      <x:c r="A219" s="23" t="str">
        <x:v>L3-010</x:v>
      </x:c>
      <x:c r="B219" s="23" t="str">
        <x:v>Level 3</x:v>
      </x:c>
      <x:c r="C219" s="23" t="str">
        <x:v>Security</x:v>
      </x:c>
      <x:c r="D219" s="23" t="str"/>
      <x:c r="E219" s="23" t="str">
        <x:v>OTP brute force</x:v>
      </x:c>
      <x:c r="F219" s="23" t="str">
        <x:v>Security</x:v>
      </x:c>
      <x:c r="G219" s="23" t="str">
        <x:v>Security Tester</x:v>
      </x:c>
      <x:c r="H219" s="23" t="str">
        <x:v>Critical</x:v>
      </x:c>
      <x:c r="I219" s="23" t="str">
        <x:v>Yes</x:v>
      </x:c>
      <x:c r="J219" s="23" t="str"/>
      <x:c r="K219" s="23" t="str">
        <x:v>Required master data and user exist.</x:v>
      </x:c>
      <x:c r="L219" s="23" t="str">
        <x:v>Use dedicated non-production test data.</x:v>
      </x:c>
      <x:c r="M219" s="23" t="str">
        <x:v>1. Sign in as Security Tester. 2. Repeat doctor/patient/reset OTP guesses. 3. Save or submit. 4. Refresh or reopen the record. 5. Compare the result with the pass condition.</x:v>
      </x:c>
      <x:c r="N219" s="23" t="str">
        <x:v>Rate limit, expiry and lockout prevent brute force.</x:v>
      </x:c>
      <x:c r="O219" s="26" t="str">
        <x:v>Not Run</x:v>
      </x:c>
      <x:c r="P219" s="26" t="str"/>
      <x:c r="Q219" s="26" t="str"/>
      <x:c r="R219" s="26" t="str"/>
      <x:c r="S219" s="26" t="str"/>
      <x:c r="T219" s="26" t="str"/>
      <x:c r="U219" s="26" t="str">
        <x:v>QA</x:v>
      </x:c>
      <x:c r="V219" s="26" t="str"/>
      <x:c r="W219" s="29" t="str"/>
      <x:c r="X219" s="26" t="str"/>
      <x:c r="Y219" s="26" t="str">
        <x:v>Not Required</x:v>
      </x:c>
      <x:c r="Z219" s="26" t="str"/>
      <x:c r="AA219" s="28" t="n">
        <x:f>IF(OR(O219="Passed",O219="Failed",O219="Blocked"),1,0)</x:f>
        <x:v>0</x:v>
      </x:c>
      <x:c r="AB219" s="28" t="n">
        <x:f>IF(O219="Passed",1,0)</x:f>
        <x:v>0</x:v>
      </x:c>
      <x:c r="AC219" s="28" t="n">
        <x:f>IF(AND(OR(R219="Critical",R219="High"),OR(O219="Failed",O219="Blocked"),S219&lt;&gt;"Closed",S219&lt;&gt;"Rejected"),1,0)</x:f>
        <x:v>0</x:v>
      </x:c>
      <x:c r="AD219" s="28" t="n">
        <x:f>IF(X219&lt;&gt;"",1,0)</x:f>
        <x:v>0</x:v>
      </x:c>
      <x:c r="AE219" s="28" t="n">
        <x:f>IF(J219&lt;&gt;"",1,0)</x:f>
        <x:v>0</x:v>
      </x:c>
    </x:row>
    <x:row r="220">
      <x:c r="A220" s="23" t="str">
        <x:v>L3-011</x:v>
      </x:c>
      <x:c r="B220" s="23" t="str">
        <x:v>Level 3</x:v>
      </x:c>
      <x:c r="C220" s="23" t="str">
        <x:v>Security</x:v>
      </x:c>
      <x:c r="D220" s="23" t="str"/>
      <x:c r="E220" s="23" t="str">
        <x:v>Credential reuse</x:v>
      </x:c>
      <x:c r="F220" s="23" t="str">
        <x:v>Security</x:v>
      </x:c>
      <x:c r="G220" s="23" t="str">
        <x:v>Security Tester</x:v>
      </x:c>
      <x:c r="H220" s="23" t="str">
        <x:v>Critical</x:v>
      </x:c>
      <x:c r="I220" s="23" t="str">
        <x:v>Yes</x:v>
      </x:c>
      <x:c r="J220" s="23" t="str"/>
      <x:c r="K220" s="23" t="str">
        <x:v>Required master data and user exist.</x:v>
      </x:c>
      <x:c r="L220" s="23" t="str">
        <x:v>Use dedicated non-production test data.</x:v>
      </x:c>
      <x:c r="M220" s="23" t="str">
        <x:v>1. Sign in as Security Tester. 2. Reuse activation/reset/QR tokens after success and reissue. 3. Save or submit. 4. Refresh or reopen the record. 5. Compare the result with the pass condition.</x:v>
      </x:c>
      <x:c r="N220" s="23" t="str">
        <x:v>All old single-use credentials fail.</x:v>
      </x:c>
      <x:c r="O220" s="26" t="str">
        <x:v>Not Run</x:v>
      </x:c>
      <x:c r="P220" s="26" t="str"/>
      <x:c r="Q220" s="26" t="str"/>
      <x:c r="R220" s="26" t="str"/>
      <x:c r="S220" s="26" t="str"/>
      <x:c r="T220" s="26" t="str"/>
      <x:c r="U220" s="26" t="str">
        <x:v>QA</x:v>
      </x:c>
      <x:c r="V220" s="26" t="str"/>
      <x:c r="W220" s="29" t="str"/>
      <x:c r="X220" s="26" t="str"/>
      <x:c r="Y220" s="26" t="str">
        <x:v>Not Required</x:v>
      </x:c>
      <x:c r="Z220" s="26" t="str"/>
      <x:c r="AA220" s="28" t="n">
        <x:f>IF(OR(O220="Passed",O220="Failed",O220="Blocked"),1,0)</x:f>
        <x:v>0</x:v>
      </x:c>
      <x:c r="AB220" s="28" t="n">
        <x:f>IF(O220="Passed",1,0)</x:f>
        <x:v>0</x:v>
      </x:c>
      <x:c r="AC220" s="28" t="n">
        <x:f>IF(AND(OR(R220="Critical",R220="High"),OR(O220="Failed",O220="Blocked"),S220&lt;&gt;"Closed",S220&lt;&gt;"Rejected"),1,0)</x:f>
        <x:v>0</x:v>
      </x:c>
      <x:c r="AD220" s="28" t="n">
        <x:f>IF(X220&lt;&gt;"",1,0)</x:f>
        <x:v>0</x:v>
      </x:c>
      <x:c r="AE220" s="28" t="n">
        <x:f>IF(J220&lt;&gt;"",1,0)</x:f>
        <x:v>0</x:v>
      </x:c>
    </x:row>
    <x:row r="221">
      <x:c r="A221" s="23" t="str">
        <x:v>L3-012</x:v>
      </x:c>
      <x:c r="B221" s="23" t="str">
        <x:v>Level 3</x:v>
      </x:c>
      <x:c r="C221" s="23" t="str">
        <x:v>Security</x:v>
      </x:c>
      <x:c r="D221" s="23" t="str"/>
      <x:c r="E221" s="23" t="str">
        <x:v>Error information leakage</x:v>
      </x:c>
      <x:c r="F221" s="23" t="str">
        <x:v>Security</x:v>
      </x:c>
      <x:c r="G221" s="23" t="str">
        <x:v>Security Tester</x:v>
      </x:c>
      <x:c r="H221" s="23" t="str">
        <x:v>Critical</x:v>
      </x:c>
      <x:c r="I221" s="23" t="str">
        <x:v>Yes</x:v>
      </x:c>
      <x:c r="J221" s="23" t="str"/>
      <x:c r="K221" s="23" t="str">
        <x:v>Required master data and user exist.</x:v>
      </x:c>
      <x:c r="L221" s="23" t="str">
        <x:v>Use dedicated non-production test data.</x:v>
      </x:c>
      <x:c r="M221" s="23" t="str">
        <x:v>1. Sign in as Security Tester. 2. Trigger invalid IDs, server errors and unauthorized requests. 3. Save or submit. 4. Refresh or reopen the record. 5. Compare the result with the pass condition.</x:v>
      </x:c>
      <x:c r="N221" s="23" t="str">
        <x:v>Responses contain no stack, DB, secret or tenant details.</x:v>
      </x:c>
      <x:c r="O221" s="26" t="str">
        <x:v>Not Run</x:v>
      </x:c>
      <x:c r="P221" s="26" t="str"/>
      <x:c r="Q221" s="26" t="str"/>
      <x:c r="R221" s="26" t="str"/>
      <x:c r="S221" s="26" t="str"/>
      <x:c r="T221" s="26" t="str"/>
      <x:c r="U221" s="26" t="str">
        <x:v>QA</x:v>
      </x:c>
      <x:c r="V221" s="26" t="str"/>
      <x:c r="W221" s="29" t="str"/>
      <x:c r="X221" s="26" t="str"/>
      <x:c r="Y221" s="26" t="str">
        <x:v>Not Required</x:v>
      </x:c>
      <x:c r="Z221" s="26" t="str"/>
      <x:c r="AA221" s="28" t="n">
        <x:f>IF(OR(O221="Passed",O221="Failed",O221="Blocked"),1,0)</x:f>
        <x:v>0</x:v>
      </x:c>
      <x:c r="AB221" s="28" t="n">
        <x:f>IF(O221="Passed",1,0)</x:f>
        <x:v>0</x:v>
      </x:c>
      <x:c r="AC221" s="28" t="n">
        <x:f>IF(AND(OR(R221="Critical",R221="High"),OR(O221="Failed",O221="Blocked"),S221&lt;&gt;"Closed",S221&lt;&gt;"Rejected"),1,0)</x:f>
        <x:v>0</x:v>
      </x:c>
      <x:c r="AD221" s="28" t="n">
        <x:f>IF(X221&lt;&gt;"",1,0)</x:f>
        <x:v>0</x:v>
      </x:c>
      <x:c r="AE221" s="28" t="n">
        <x:f>IF(J221&lt;&gt;"",1,0)</x:f>
        <x:v>0</x:v>
      </x:c>
    </x:row>
    <x:row r="222">
      <x:c r="A222" s="23" t="str">
        <x:v>L3-013</x:v>
      </x:c>
      <x:c r="B222" s="23" t="str">
        <x:v>Level 3</x:v>
      </x:c>
      <x:c r="C222" s="23" t="str">
        <x:v>Security</x:v>
      </x:c>
      <x:c r="D222" s="23" t="str"/>
      <x:c r="E222" s="23" t="str">
        <x:v>Security headers</x:v>
      </x:c>
      <x:c r="F222" s="23" t="str">
        <x:v>Security</x:v>
      </x:c>
      <x:c r="G222" s="23" t="str">
        <x:v>Security Tester</x:v>
      </x:c>
      <x:c r="H222" s="23" t="str">
        <x:v>Critical</x:v>
      </x:c>
      <x:c r="I222" s="23" t="str">
        <x:v>Yes</x:v>
      </x:c>
      <x:c r="J222" s="23" t="str"/>
      <x:c r="K222" s="23" t="str">
        <x:v>Required master data and user exist.</x:v>
      </x:c>
      <x:c r="L222" s="23" t="str">
        <x:v>Use dedicated non-production test data.</x:v>
      </x:c>
      <x:c r="M222" s="23" t="str">
        <x:v>1. Sign in as Security Tester. 2. Inspect login, dashboard and portal headers. 3. Save or submit. 4. Refresh or reopen the record. 5. Compare the result with the pass condition.</x:v>
      </x:c>
      <x:c r="N222" s="23" t="str">
        <x:v>Required transport/content framing/sniffing controls meet policy.</x:v>
      </x:c>
      <x:c r="O222" s="26" t="str">
        <x:v>Not Run</x:v>
      </x:c>
      <x:c r="P222" s="26" t="str"/>
      <x:c r="Q222" s="26" t="str"/>
      <x:c r="R222" s="26" t="str"/>
      <x:c r="S222" s="26" t="str"/>
      <x:c r="T222" s="26" t="str"/>
      <x:c r="U222" s="26" t="str">
        <x:v>QA</x:v>
      </x:c>
      <x:c r="V222" s="26" t="str"/>
      <x:c r="W222" s="29" t="str"/>
      <x:c r="X222" s="26" t="str"/>
      <x:c r="Y222" s="26" t="str">
        <x:v>Not Required</x:v>
      </x:c>
      <x:c r="Z222" s="26" t="str"/>
      <x:c r="AA222" s="28" t="n">
        <x:f>IF(OR(O222="Passed",O222="Failed",O222="Blocked"),1,0)</x:f>
        <x:v>0</x:v>
      </x:c>
      <x:c r="AB222" s="28" t="n">
        <x:f>IF(O222="Passed",1,0)</x:f>
        <x:v>0</x:v>
      </x:c>
      <x:c r="AC222" s="28" t="n">
        <x:f>IF(AND(OR(R222="Critical",R222="High"),OR(O222="Failed",O222="Blocked"),S222&lt;&gt;"Closed",S222&lt;&gt;"Rejected"),1,0)</x:f>
        <x:v>0</x:v>
      </x:c>
      <x:c r="AD222" s="28" t="n">
        <x:f>IF(X222&lt;&gt;"",1,0)</x:f>
        <x:v>0</x:v>
      </x:c>
      <x:c r="AE222" s="28" t="n">
        <x:f>IF(J222&lt;&gt;"",1,0)</x:f>
        <x:v>0</x:v>
      </x:c>
    </x:row>
    <x:row r="223">
      <x:c r="A223" s="23" t="str">
        <x:v>L3-014</x:v>
      </x:c>
      <x:c r="B223" s="23" t="str">
        <x:v>Level 3</x:v>
      </x:c>
      <x:c r="C223" s="23" t="str">
        <x:v>Security</x:v>
      </x:c>
      <x:c r="D223" s="23" t="str"/>
      <x:c r="E223" s="23" t="str">
        <x:v>Secrets exposure</x:v>
      </x:c>
      <x:c r="F223" s="23" t="str">
        <x:v>Security</x:v>
      </x:c>
      <x:c r="G223" s="23" t="str">
        <x:v>Security Tester</x:v>
      </x:c>
      <x:c r="H223" s="23" t="str">
        <x:v>Critical</x:v>
      </x:c>
      <x:c r="I223" s="23" t="str">
        <x:v>Yes</x:v>
      </x:c>
      <x:c r="J223" s="23" t="str"/>
      <x:c r="K223" s="23" t="str">
        <x:v>Required master data and user exist.</x:v>
      </x:c>
      <x:c r="L223" s="23" t="str">
        <x:v>Use dedicated non-production test data.</x:v>
      </x:c>
      <x:c r="M223" s="23" t="str">
        <x:v>1. Sign in as Security Tester. 2. Inspect client bundles, logs and error output. 3. Save or submit. 4. Refresh or reopen the record. 5. Compare the result with the pass condition.</x:v>
      </x:c>
      <x:c r="N223" s="23" t="str">
        <x:v>No credentials, SMTP, database or signing secrets are exposed.</x:v>
      </x:c>
      <x:c r="O223" s="26" t="str">
        <x:v>Not Run</x:v>
      </x:c>
      <x:c r="P223" s="26" t="str"/>
      <x:c r="Q223" s="26" t="str"/>
      <x:c r="R223" s="26" t="str"/>
      <x:c r="S223" s="26" t="str"/>
      <x:c r="T223" s="26" t="str"/>
      <x:c r="U223" s="26" t="str">
        <x:v>QA</x:v>
      </x:c>
      <x:c r="V223" s="26" t="str"/>
      <x:c r="W223" s="29" t="str"/>
      <x:c r="X223" s="26" t="str"/>
      <x:c r="Y223" s="26" t="str">
        <x:v>Not Required</x:v>
      </x:c>
      <x:c r="Z223" s="26" t="str"/>
      <x:c r="AA223" s="28" t="n">
        <x:f>IF(OR(O223="Passed",O223="Failed",O223="Blocked"),1,0)</x:f>
        <x:v>0</x:v>
      </x:c>
      <x:c r="AB223" s="28" t="n">
        <x:f>IF(O223="Passed",1,0)</x:f>
        <x:v>0</x:v>
      </x:c>
      <x:c r="AC223" s="28" t="n">
        <x:f>IF(AND(OR(R223="Critical",R223="High"),OR(O223="Failed",O223="Blocked"),S223&lt;&gt;"Closed",S223&lt;&gt;"Rejected"),1,0)</x:f>
        <x:v>0</x:v>
      </x:c>
      <x:c r="AD223" s="28" t="n">
        <x:f>IF(X223&lt;&gt;"",1,0)</x:f>
        <x:v>0</x:v>
      </x:c>
      <x:c r="AE223" s="28" t="n">
        <x:f>IF(J223&lt;&gt;"",1,0)</x:f>
        <x:v>0</x:v>
      </x:c>
    </x:row>
    <x:row r="224">
      <x:c r="A224" s="23" t="str">
        <x:v>L3-015</x:v>
      </x:c>
      <x:c r="B224" s="23" t="str">
        <x:v>Level 3</x:v>
      </x:c>
      <x:c r="C224" s="23" t="str">
        <x:v>Security</x:v>
      </x:c>
      <x:c r="D224" s="23" t="str"/>
      <x:c r="E224" s="23" t="str">
        <x:v>Dependency vulnerability gate</x:v>
      </x:c>
      <x:c r="F224" s="23" t="str">
        <x:v>Security</x:v>
      </x:c>
      <x:c r="G224" s="23" t="str">
        <x:v>Security Tester</x:v>
      </x:c>
      <x:c r="H224" s="23" t="str">
        <x:v>Critical</x:v>
      </x:c>
      <x:c r="I224" s="23" t="str">
        <x:v>Yes</x:v>
      </x:c>
      <x:c r="J224" s="23" t="str"/>
      <x:c r="K224" s="23" t="str">
        <x:v>Required master data and user exist.</x:v>
      </x:c>
      <x:c r="L224" s="23" t="str">
        <x:v>Use dedicated non-production test data.</x:v>
      </x:c>
      <x:c r="M224" s="23" t="str">
        <x:v>1. Sign in as Security Tester. 2. Run the approved dependency/security scan. 3. Save or submit. 4. Refresh or reopen the record. 5. Compare the result with the pass condition.</x:v>
      </x:c>
      <x:c r="N224" s="23" t="str">
        <x:v>No unaccepted Critical/High finding remains.</x:v>
      </x:c>
      <x:c r="O224" s="26" t="str">
        <x:v>Not Run</x:v>
      </x:c>
      <x:c r="P224" s="26" t="str"/>
      <x:c r="Q224" s="26" t="str"/>
      <x:c r="R224" s="26" t="str"/>
      <x:c r="S224" s="26" t="str"/>
      <x:c r="T224" s="26" t="str"/>
      <x:c r="U224" s="26" t="str">
        <x:v>QA</x:v>
      </x:c>
      <x:c r="V224" s="26" t="str"/>
      <x:c r="W224" s="29" t="str"/>
      <x:c r="X224" s="26" t="str"/>
      <x:c r="Y224" s="26" t="str">
        <x:v>Not Required</x:v>
      </x:c>
      <x:c r="Z224" s="26" t="str"/>
      <x:c r="AA224" s="28" t="n">
        <x:f>IF(OR(O224="Passed",O224="Failed",O224="Blocked"),1,0)</x:f>
        <x:v>0</x:v>
      </x:c>
      <x:c r="AB224" s="28" t="n">
        <x:f>IF(O224="Passed",1,0)</x:f>
        <x:v>0</x:v>
      </x:c>
      <x:c r="AC224" s="28" t="n">
        <x:f>IF(AND(OR(R224="Critical",R224="High"),OR(O224="Failed",O224="Blocked"),S224&lt;&gt;"Closed",S224&lt;&gt;"Rejected"),1,0)</x:f>
        <x:v>0</x:v>
      </x:c>
      <x:c r="AD224" s="28" t="n">
        <x:f>IF(X224&lt;&gt;"",1,0)</x:f>
        <x:v>0</x:v>
      </x:c>
      <x:c r="AE224" s="28" t="n">
        <x:f>IF(J224&lt;&gt;"",1,0)</x:f>
        <x:v>0</x:v>
      </x:c>
    </x:row>
    <x:row r="225">
      <x:c r="A225" s="23" t="str">
        <x:v>L3-016</x:v>
      </x:c>
      <x:c r="B225" s="23" t="str">
        <x:v>Level 3</x:v>
      </x:c>
      <x:c r="C225" s="23" t="str">
        <x:v>Security</x:v>
      </x:c>
      <x:c r="D225" s="23" t="str"/>
      <x:c r="E225" s="23" t="str">
        <x:v>Privilege matrix certification</x:v>
      </x:c>
      <x:c r="F225" s="23" t="str">
        <x:v>Security</x:v>
      </x:c>
      <x:c r="G225" s="23" t="str">
        <x:v>Security Tester</x:v>
      </x:c>
      <x:c r="H225" s="23" t="str">
        <x:v>Critical</x:v>
      </x:c>
      <x:c r="I225" s="23" t="str">
        <x:v>Yes</x:v>
      </x:c>
      <x:c r="J225" s="23" t="str"/>
      <x:c r="K225" s="23" t="str">
        <x:v>Required master data and user exist.</x:v>
      </x:c>
      <x:c r="L225" s="23" t="str">
        <x:v>Use dedicated non-production test data.</x:v>
      </x:c>
      <x:c r="M225" s="23" t="str">
        <x:v>1. Sign in as Security Tester. 2. Execute every dangerous permission against allowed and denied roles. 3. Save or submit. 4. Refresh or reopen the record. 5. Compare the result with the pass condition.</x:v>
      </x:c>
      <x:c r="N225" s="23" t="str">
        <x:v>UI and API match the signed-off matrix.</x:v>
      </x:c>
      <x:c r="O225" s="26" t="str">
        <x:v>Not Run</x:v>
      </x:c>
      <x:c r="P225" s="26" t="str"/>
      <x:c r="Q225" s="26" t="str"/>
      <x:c r="R225" s="26" t="str"/>
      <x:c r="S225" s="26" t="str"/>
      <x:c r="T225" s="26" t="str"/>
      <x:c r="U225" s="26" t="str">
        <x:v>QA</x:v>
      </x:c>
      <x:c r="V225" s="26" t="str"/>
      <x:c r="W225" s="29" t="str"/>
      <x:c r="X225" s="26" t="str"/>
      <x:c r="Y225" s="26" t="str">
        <x:v>Not Required</x:v>
      </x:c>
      <x:c r="Z225" s="26" t="str"/>
      <x:c r="AA225" s="28" t="n">
        <x:f>IF(OR(O225="Passed",O225="Failed",O225="Blocked"),1,0)</x:f>
        <x:v>0</x:v>
      </x:c>
      <x:c r="AB225" s="28" t="n">
        <x:f>IF(O225="Passed",1,0)</x:f>
        <x:v>0</x:v>
      </x:c>
      <x:c r="AC225" s="28" t="n">
        <x:f>IF(AND(OR(R225="Critical",R225="High"),OR(O225="Failed",O225="Blocked"),S225&lt;&gt;"Closed",S225&lt;&gt;"Rejected"),1,0)</x:f>
        <x:v>0</x:v>
      </x:c>
      <x:c r="AD225" s="28" t="n">
        <x:f>IF(X225&lt;&gt;"",1,0)</x:f>
        <x:v>0</x:v>
      </x:c>
      <x:c r="AE225" s="28" t="n">
        <x:f>IF(J225&lt;&gt;"",1,0)</x:f>
        <x:v>0</x:v>
      </x:c>
    </x:row>
    <x:row r="226">
      <x:c r="A226" s="23" t="str">
        <x:v>L3-017</x:v>
      </x:c>
      <x:c r="B226" s="23" t="str">
        <x:v>Level 3</x:v>
      </x:c>
      <x:c r="C226" s="23" t="str">
        <x:v>Privacy &amp; Medical Data</x:v>
      </x:c>
      <x:c r="D226" s="23" t="str"/>
      <x:c r="E226" s="23" t="str">
        <x:v>Minimum necessary patient response</x:v>
      </x:c>
      <x:c r="F226" s="23" t="str">
        <x:v>Privacy</x:v>
      </x:c>
      <x:c r="G226" s="23" t="str">
        <x:v>Privacy Tester</x:v>
      </x:c>
      <x:c r="H226" s="23" t="str">
        <x:v>Critical</x:v>
      </x:c>
      <x:c r="I226" s="23" t="str">
        <x:v>Yes</x:v>
      </x:c>
      <x:c r="J226" s="23" t="str"/>
      <x:c r="K226" s="23" t="str">
        <x:v>Required master data and user exist.</x:v>
      </x:c>
      <x:c r="L226" s="23" t="str">
        <x:v>Use dedicated non-production test data.</x:v>
      </x:c>
      <x:c r="M226" s="23" t="str">
        <x:v>1. Sign in as Privacy Tester. 2. Inspect all patient portal/API fields. 3. Save or submit. 4. Refresh or reopen the record. 5. Compare the result with the pass condition.</x:v>
      </x:c>
      <x:c r="N226" s="23" t="str">
        <x:v>Only approved patient-safe fields are returned.</x:v>
      </x:c>
      <x:c r="O226" s="26" t="str">
        <x:v>Not Run</x:v>
      </x:c>
      <x:c r="P226" s="26" t="str"/>
      <x:c r="Q226" s="26" t="str"/>
      <x:c r="R226" s="26" t="str"/>
      <x:c r="S226" s="26" t="str"/>
      <x:c r="T226" s="26" t="str"/>
      <x:c r="U226" s="26" t="str">
        <x:v>QA</x:v>
      </x:c>
      <x:c r="V226" s="26" t="str"/>
      <x:c r="W226" s="29" t="str"/>
      <x:c r="X226" s="26" t="str"/>
      <x:c r="Y226" s="26" t="str">
        <x:v>Not Required</x:v>
      </x:c>
      <x:c r="Z226" s="26" t="str"/>
      <x:c r="AA226" s="28" t="n">
        <x:f>IF(OR(O226="Passed",O226="Failed",O226="Blocked"),1,0)</x:f>
        <x:v>0</x:v>
      </x:c>
      <x:c r="AB226" s="28" t="n">
        <x:f>IF(O226="Passed",1,0)</x:f>
        <x:v>0</x:v>
      </x:c>
      <x:c r="AC226" s="28" t="n">
        <x:f>IF(AND(OR(R226="Critical",R226="High"),OR(O226="Failed",O226="Blocked"),S226&lt;&gt;"Closed",S226&lt;&gt;"Rejected"),1,0)</x:f>
        <x:v>0</x:v>
      </x:c>
      <x:c r="AD226" s="28" t="n">
        <x:f>IF(X226&lt;&gt;"",1,0)</x:f>
        <x:v>0</x:v>
      </x:c>
      <x:c r="AE226" s="28" t="n">
        <x:f>IF(J226&lt;&gt;"",1,0)</x:f>
        <x:v>0</x:v>
      </x:c>
    </x:row>
    <x:row r="227">
      <x:c r="A227" s="23" t="str">
        <x:v>L3-018</x:v>
      </x:c>
      <x:c r="B227" s="23" t="str">
        <x:v>Level 3</x:v>
      </x:c>
      <x:c r="C227" s="23" t="str">
        <x:v>Privacy &amp; Medical Data</x:v>
      </x:c>
      <x:c r="D227" s="23" t="str"/>
      <x:c r="E227" s="23" t="str">
        <x:v>Minimum necessary doctor response</x:v>
      </x:c>
      <x:c r="F227" s="23" t="str">
        <x:v>Privacy</x:v>
      </x:c>
      <x:c r="G227" s="23" t="str">
        <x:v>Privacy Tester</x:v>
      </x:c>
      <x:c r="H227" s="23" t="str">
        <x:v>Critical</x:v>
      </x:c>
      <x:c r="I227" s="23" t="str">
        <x:v>Yes</x:v>
      </x:c>
      <x:c r="J227" s="23" t="str"/>
      <x:c r="K227" s="23" t="str">
        <x:v>Required master data and user exist.</x:v>
      </x:c>
      <x:c r="L227" s="23" t="str">
        <x:v>Use dedicated non-production test data.</x:v>
      </x:c>
      <x:c r="M227" s="23" t="str">
        <x:v>1. Sign in as Privacy Tester. 2. Inspect doctor portal/API fields. 3. Save or submit. 4. Refresh or reopen the record. 5. Compare the result with the pass condition.</x:v>
      </x:c>
      <x:c r="N227" s="23" t="str">
        <x:v>Only owned clinical/referral/approved commission data is returned.</x:v>
      </x:c>
      <x:c r="O227" s="26" t="str">
        <x:v>Not Run</x:v>
      </x:c>
      <x:c r="P227" s="26" t="str"/>
      <x:c r="Q227" s="26" t="str"/>
      <x:c r="R227" s="26" t="str"/>
      <x:c r="S227" s="26" t="str"/>
      <x:c r="T227" s="26" t="str"/>
      <x:c r="U227" s="26" t="str">
        <x:v>QA</x:v>
      </x:c>
      <x:c r="V227" s="26" t="str"/>
      <x:c r="W227" s="29" t="str"/>
      <x:c r="X227" s="26" t="str"/>
      <x:c r="Y227" s="26" t="str">
        <x:v>Not Required</x:v>
      </x:c>
      <x:c r="Z227" s="26" t="str"/>
      <x:c r="AA227" s="28" t="n">
        <x:f>IF(OR(O227="Passed",O227="Failed",O227="Blocked"),1,0)</x:f>
        <x:v>0</x:v>
      </x:c>
      <x:c r="AB227" s="28" t="n">
        <x:f>IF(O227="Passed",1,0)</x:f>
        <x:v>0</x:v>
      </x:c>
      <x:c r="AC227" s="28" t="n">
        <x:f>IF(AND(OR(R227="Critical",R227="High"),OR(O227="Failed",O227="Blocked"),S227&lt;&gt;"Closed",S227&lt;&gt;"Rejected"),1,0)</x:f>
        <x:v>0</x:v>
      </x:c>
      <x:c r="AD227" s="28" t="n">
        <x:f>IF(X227&lt;&gt;"",1,0)</x:f>
        <x:v>0</x:v>
      </x:c>
      <x:c r="AE227" s="28" t="n">
        <x:f>IF(J227&lt;&gt;"",1,0)</x:f>
        <x:v>0</x:v>
      </x:c>
    </x:row>
    <x:row r="228">
      <x:c r="A228" s="23" t="str">
        <x:v>L3-019</x:v>
      </x:c>
      <x:c r="B228" s="23" t="str">
        <x:v>Level 3</x:v>
      </x:c>
      <x:c r="C228" s="23" t="str">
        <x:v>Privacy &amp; Medical Data</x:v>
      </x:c>
      <x:c r="D228" s="23" t="str"/>
      <x:c r="E228" s="23" t="str">
        <x:v>URL and log privacy</x:v>
      </x:c>
      <x:c r="F228" s="23" t="str">
        <x:v>Privacy</x:v>
      </x:c>
      <x:c r="G228" s="23" t="str">
        <x:v>Privacy Tester</x:v>
      </x:c>
      <x:c r="H228" s="23" t="str">
        <x:v>Critical</x:v>
      </x:c>
      <x:c r="I228" s="23" t="str">
        <x:v>Yes</x:v>
      </x:c>
      <x:c r="J228" s="23" t="str"/>
      <x:c r="K228" s="23" t="str">
        <x:v>Required master data and user exist.</x:v>
      </x:c>
      <x:c r="L228" s="23" t="str">
        <x:v>Use dedicated non-production test data.</x:v>
      </x:c>
      <x:c r="M228" s="23" t="str">
        <x:v>1. Sign in as Privacy Tester. 2. Inspect URLs, client/server logs and analytics events. 3. Save or submit. 4. Refresh or reopen the record. 5. Compare the result with the pass condition.</x:v>
      </x:c>
      <x:c r="N228" s="23" t="str">
        <x:v>Sensitive medical data and tokens are not logged or placed in URLs.</x:v>
      </x:c>
      <x:c r="O228" s="26" t="str">
        <x:v>Not Run</x:v>
      </x:c>
      <x:c r="P228" s="26" t="str"/>
      <x:c r="Q228" s="26" t="str"/>
      <x:c r="R228" s="26" t="str"/>
      <x:c r="S228" s="26" t="str"/>
      <x:c r="T228" s="26" t="str"/>
      <x:c r="U228" s="26" t="str">
        <x:v>QA</x:v>
      </x:c>
      <x:c r="V228" s="26" t="str"/>
      <x:c r="W228" s="29" t="str"/>
      <x:c r="X228" s="26" t="str"/>
      <x:c r="Y228" s="26" t="str">
        <x:v>Not Required</x:v>
      </x:c>
      <x:c r="Z228" s="26" t="str"/>
      <x:c r="AA228" s="28" t="n">
        <x:f>IF(OR(O228="Passed",O228="Failed",O228="Blocked"),1,0)</x:f>
        <x:v>0</x:v>
      </x:c>
      <x:c r="AB228" s="28" t="n">
        <x:f>IF(O228="Passed",1,0)</x:f>
        <x:v>0</x:v>
      </x:c>
      <x:c r="AC228" s="28" t="n">
        <x:f>IF(AND(OR(R228="Critical",R228="High"),OR(O228="Failed",O228="Blocked"),S228&lt;&gt;"Closed",S228&lt;&gt;"Rejected"),1,0)</x:f>
        <x:v>0</x:v>
      </x:c>
      <x:c r="AD228" s="28" t="n">
        <x:f>IF(X228&lt;&gt;"",1,0)</x:f>
        <x:v>0</x:v>
      </x:c>
      <x:c r="AE228" s="28" t="n">
        <x:f>IF(J228&lt;&gt;"",1,0)</x:f>
        <x:v>0</x:v>
      </x:c>
    </x:row>
    <x:row r="229">
      <x:c r="A229" s="23" t="str">
        <x:v>L3-020</x:v>
      </x:c>
      <x:c r="B229" s="23" t="str">
        <x:v>Level 3</x:v>
      </x:c>
      <x:c r="C229" s="23" t="str">
        <x:v>Privacy &amp; Medical Data</x:v>
      </x:c>
      <x:c r="D229" s="23" t="str"/>
      <x:c r="E229" s="23" t="str">
        <x:v>Cache privacy</x:v>
      </x:c>
      <x:c r="F229" s="23" t="str">
        <x:v>Privacy</x:v>
      </x:c>
      <x:c r="G229" s="23" t="str">
        <x:v>Privacy Tester</x:v>
      </x:c>
      <x:c r="H229" s="23" t="str">
        <x:v>Critical</x:v>
      </x:c>
      <x:c r="I229" s="23" t="str">
        <x:v>Yes</x:v>
      </x:c>
      <x:c r="J229" s="23" t="str"/>
      <x:c r="K229" s="23" t="str">
        <x:v>Required master data and user exist.</x:v>
      </x:c>
      <x:c r="L229" s="23" t="str">
        <x:v>Use dedicated non-production test data.</x:v>
      </x:c>
      <x:c r="M229" s="23" t="str">
        <x:v>1. Sign in as Privacy Tester. 2. Use Back, shared browser profile and proxy cache after logout. 3. Save or submit. 4. Refresh or reopen the record. 5. Compare the result with the pass condition.</x:v>
      </x:c>
      <x:c r="N229" s="23" t="str">
        <x:v>Private pages are not served from unsafe cache.</x:v>
      </x:c>
      <x:c r="O229" s="26" t="str">
        <x:v>Not Run</x:v>
      </x:c>
      <x:c r="P229" s="26" t="str"/>
      <x:c r="Q229" s="26" t="str"/>
      <x:c r="R229" s="26" t="str"/>
      <x:c r="S229" s="26" t="str"/>
      <x:c r="T229" s="26" t="str"/>
      <x:c r="U229" s="26" t="str">
        <x:v>QA</x:v>
      </x:c>
      <x:c r="V229" s="26" t="str"/>
      <x:c r="W229" s="29" t="str"/>
      <x:c r="X229" s="26" t="str"/>
      <x:c r="Y229" s="26" t="str">
        <x:v>Not Required</x:v>
      </x:c>
      <x:c r="Z229" s="26" t="str"/>
      <x:c r="AA229" s="28" t="n">
        <x:f>IF(OR(O229="Passed",O229="Failed",O229="Blocked"),1,0)</x:f>
        <x:v>0</x:v>
      </x:c>
      <x:c r="AB229" s="28" t="n">
        <x:f>IF(O229="Passed",1,0)</x:f>
        <x:v>0</x:v>
      </x:c>
      <x:c r="AC229" s="28" t="n">
        <x:f>IF(AND(OR(R229="Critical",R229="High"),OR(O229="Failed",O229="Blocked"),S229&lt;&gt;"Closed",S229&lt;&gt;"Rejected"),1,0)</x:f>
        <x:v>0</x:v>
      </x:c>
      <x:c r="AD229" s="28" t="n">
        <x:f>IF(X229&lt;&gt;"",1,0)</x:f>
        <x:v>0</x:v>
      </x:c>
      <x:c r="AE229" s="28" t="n">
        <x:f>IF(J229&lt;&gt;"",1,0)</x:f>
        <x:v>0</x:v>
      </x:c>
    </x:row>
    <x:row r="230">
      <x:c r="A230" s="23" t="str">
        <x:v>L3-021</x:v>
      </x:c>
      <x:c r="B230" s="23" t="str">
        <x:v>Level 3</x:v>
      </x:c>
      <x:c r="C230" s="23" t="str">
        <x:v>Privacy &amp; Medical Data</x:v>
      </x:c>
      <x:c r="D230" s="23" t="str"/>
      <x:c r="E230" s="23" t="str">
        <x:v>Search engine privacy</x:v>
      </x:c>
      <x:c r="F230" s="23" t="str">
        <x:v>Privacy</x:v>
      </x:c>
      <x:c r="G230" s="23" t="str">
        <x:v>Privacy Tester</x:v>
      </x:c>
      <x:c r="H230" s="23" t="str">
        <x:v>Critical</x:v>
      </x:c>
      <x:c r="I230" s="23" t="str">
        <x:v>Yes</x:v>
      </x:c>
      <x:c r="J230" s="23" t="str"/>
      <x:c r="K230" s="23" t="str">
        <x:v>Required master data and user exist.</x:v>
      </x:c>
      <x:c r="L230" s="23" t="str">
        <x:v>Use dedicated non-production test data.</x:v>
      </x:c>
      <x:c r="M230" s="23" t="str">
        <x:v>1. Sign in as Privacy Tester. 2. Inspect robots/meta behavior for patient pages. 3. Save or submit. 4. Refresh or reopen the record. 5. Compare the result with the pass condition.</x:v>
      </x:c>
      <x:c r="N230" s="23" t="str">
        <x:v>Patient pages are not indexed.</x:v>
      </x:c>
      <x:c r="O230" s="26" t="str">
        <x:v>Not Run</x:v>
      </x:c>
      <x:c r="P230" s="26" t="str"/>
      <x:c r="Q230" s="26" t="str"/>
      <x:c r="R230" s="26" t="str"/>
      <x:c r="S230" s="26" t="str"/>
      <x:c r="T230" s="26" t="str"/>
      <x:c r="U230" s="26" t="str">
        <x:v>QA</x:v>
      </x:c>
      <x:c r="V230" s="26" t="str"/>
      <x:c r="W230" s="29" t="str"/>
      <x:c r="X230" s="26" t="str"/>
      <x:c r="Y230" s="26" t="str">
        <x:v>Not Required</x:v>
      </x:c>
      <x:c r="Z230" s="26" t="str"/>
      <x:c r="AA230" s="28" t="n">
        <x:f>IF(OR(O230="Passed",O230="Failed",O230="Blocked"),1,0)</x:f>
        <x:v>0</x:v>
      </x:c>
      <x:c r="AB230" s="28" t="n">
        <x:f>IF(O230="Passed",1,0)</x:f>
        <x:v>0</x:v>
      </x:c>
      <x:c r="AC230" s="28" t="n">
        <x:f>IF(AND(OR(R230="Critical",R230="High"),OR(O230="Failed",O230="Blocked"),S230&lt;&gt;"Closed",S230&lt;&gt;"Rejected"),1,0)</x:f>
        <x:v>0</x:v>
      </x:c>
      <x:c r="AD230" s="28" t="n">
        <x:f>IF(X230&lt;&gt;"",1,0)</x:f>
        <x:v>0</x:v>
      </x:c>
      <x:c r="AE230" s="28" t="n">
        <x:f>IF(J230&lt;&gt;"",1,0)</x:f>
        <x:v>0</x:v>
      </x:c>
    </x:row>
    <x:row r="231">
      <x:c r="A231" s="23" t="str">
        <x:v>L3-022</x:v>
      </x:c>
      <x:c r="B231" s="23" t="str">
        <x:v>Level 3</x:v>
      </x:c>
      <x:c r="C231" s="23" t="str">
        <x:v>Privacy &amp; Medical Data</x:v>
      </x:c>
      <x:c r="D231" s="23" t="str"/>
      <x:c r="E231" s="23" t="str">
        <x:v>Printout privacy</x:v>
      </x:c>
      <x:c r="F231" s="23" t="str">
        <x:v>Privacy</x:v>
      </x:c>
      <x:c r="G231" s="23" t="str">
        <x:v>Privacy Tester</x:v>
      </x:c>
      <x:c r="H231" s="23" t="str">
        <x:v>Critical</x:v>
      </x:c>
      <x:c r="I231" s="23" t="str">
        <x:v>Yes</x:v>
      </x:c>
      <x:c r="J231" s="23" t="str"/>
      <x:c r="K231" s="23" t="str">
        <x:v>Required master data and user exist.</x:v>
      </x:c>
      <x:c r="L231" s="23" t="str">
        <x:v>Use dedicated non-production test data.</x:v>
      </x:c>
      <x:c r="M231" s="23" t="str">
        <x:v>1. Sign in as Privacy Tester. 2. Review QR slips, invoices and reports. 3. Save or submit. 4. Refresh or reopen the record. 5. Compare the result with the pass condition.</x:v>
      </x:c>
      <x:c r="N231" s="23" t="str">
        <x:v>Only necessary data is printed and confidential slips are clear.</x:v>
      </x:c>
      <x:c r="O231" s="26" t="str">
        <x:v>Not Run</x:v>
      </x:c>
      <x:c r="P231" s="26" t="str"/>
      <x:c r="Q231" s="26" t="str"/>
      <x:c r="R231" s="26" t="str"/>
      <x:c r="S231" s="26" t="str"/>
      <x:c r="T231" s="26" t="str"/>
      <x:c r="U231" s="26" t="str">
        <x:v>QA</x:v>
      </x:c>
      <x:c r="V231" s="26" t="str"/>
      <x:c r="W231" s="29" t="str"/>
      <x:c r="X231" s="26" t="str"/>
      <x:c r="Y231" s="26" t="str">
        <x:v>Not Required</x:v>
      </x:c>
      <x:c r="Z231" s="26" t="str"/>
      <x:c r="AA231" s="28" t="n">
        <x:f>IF(OR(O231="Passed",O231="Failed",O231="Blocked"),1,0)</x:f>
        <x:v>0</x:v>
      </x:c>
      <x:c r="AB231" s="28" t="n">
        <x:f>IF(O231="Passed",1,0)</x:f>
        <x:v>0</x:v>
      </x:c>
      <x:c r="AC231" s="28" t="n">
        <x:f>IF(AND(OR(R231="Critical",R231="High"),OR(O231="Failed",O231="Blocked"),S231&lt;&gt;"Closed",S231&lt;&gt;"Rejected"),1,0)</x:f>
        <x:v>0</x:v>
      </x:c>
      <x:c r="AD231" s="28" t="n">
        <x:f>IF(X231&lt;&gt;"",1,0)</x:f>
        <x:v>0</x:v>
      </x:c>
      <x:c r="AE231" s="28" t="n">
        <x:f>IF(J231&lt;&gt;"",1,0)</x:f>
        <x:v>0</x:v>
      </x:c>
    </x:row>
    <x:row r="232">
      <x:c r="A232" s="23" t="str">
        <x:v>L3-023</x:v>
      </x:c>
      <x:c r="B232" s="23" t="str">
        <x:v>Level 3</x:v>
      </x:c>
      <x:c r="C232" s="23" t="str">
        <x:v>Privacy &amp; Medical Data</x:v>
      </x:c>
      <x:c r="D232" s="23" t="str"/>
      <x:c r="E232" s="23" t="str">
        <x:v>Data export authorization</x:v>
      </x:c>
      <x:c r="F232" s="23" t="str">
        <x:v>Privacy</x:v>
      </x:c>
      <x:c r="G232" s="23" t="str">
        <x:v>Privacy Tester</x:v>
      </x:c>
      <x:c r="H232" s="23" t="str">
        <x:v>Critical</x:v>
      </x:c>
      <x:c r="I232" s="23" t="str">
        <x:v>Yes</x:v>
      </x:c>
      <x:c r="J232" s="23" t="str"/>
      <x:c r="K232" s="23" t="str">
        <x:v>Required master data and user exist.</x:v>
      </x:c>
      <x:c r="L232" s="23" t="str">
        <x:v>Use dedicated non-production test data.</x:v>
      </x:c>
      <x:c r="M232" s="23" t="str">
        <x:v>1. Sign in as Privacy Tester. 2. Export reports/accounts/inventory as several roles. 3. Save or submit. 4. Refresh or reopen the record. 5. Compare the result with the pass condition.</x:v>
      </x:c>
      <x:c r="N232" s="23" t="str">
        <x:v>Exports contain only authorized tenant data.</x:v>
      </x:c>
      <x:c r="O232" s="26" t="str">
        <x:v>Not Run</x:v>
      </x:c>
      <x:c r="P232" s="26" t="str"/>
      <x:c r="Q232" s="26" t="str"/>
      <x:c r="R232" s="26" t="str"/>
      <x:c r="S232" s="26" t="str"/>
      <x:c r="T232" s="26" t="str"/>
      <x:c r="U232" s="26" t="str">
        <x:v>QA</x:v>
      </x:c>
      <x:c r="V232" s="26" t="str"/>
      <x:c r="W232" s="29" t="str"/>
      <x:c r="X232" s="26" t="str"/>
      <x:c r="Y232" s="26" t="str">
        <x:v>Not Required</x:v>
      </x:c>
      <x:c r="Z232" s="26" t="str"/>
      <x:c r="AA232" s="28" t="n">
        <x:f>IF(OR(O232="Passed",O232="Failed",O232="Blocked"),1,0)</x:f>
        <x:v>0</x:v>
      </x:c>
      <x:c r="AB232" s="28" t="n">
        <x:f>IF(O232="Passed",1,0)</x:f>
        <x:v>0</x:v>
      </x:c>
      <x:c r="AC232" s="28" t="n">
        <x:f>IF(AND(OR(R232="Critical",R232="High"),OR(O232="Failed",O232="Blocked"),S232&lt;&gt;"Closed",S232&lt;&gt;"Rejected"),1,0)</x:f>
        <x:v>0</x:v>
      </x:c>
      <x:c r="AD232" s="28" t="n">
        <x:f>IF(X232&lt;&gt;"",1,0)</x:f>
        <x:v>0</x:v>
      </x:c>
      <x:c r="AE232" s="28" t="n">
        <x:f>IF(J232&lt;&gt;"",1,0)</x:f>
        <x:v>0</x:v>
      </x:c>
    </x:row>
    <x:row r="233">
      <x:c r="A233" s="23" t="str">
        <x:v>L3-024</x:v>
      </x:c>
      <x:c r="B233" s="23" t="str">
        <x:v>Level 3</x:v>
      </x:c>
      <x:c r="C233" s="23" t="str">
        <x:v>Privacy &amp; Medical Data</x:v>
      </x:c>
      <x:c r="D233" s="23" t="str"/>
      <x:c r="E233" s="23" t="str">
        <x:v>Data retention</x:v>
      </x:c>
      <x:c r="F233" s="23" t="str">
        <x:v>Privacy</x:v>
      </x:c>
      <x:c r="G233" s="23" t="str">
        <x:v>Privacy Tester</x:v>
      </x:c>
      <x:c r="H233" s="23" t="str">
        <x:v>Critical</x:v>
      </x:c>
      <x:c r="I233" s="23" t="str">
        <x:v>Yes</x:v>
      </x:c>
      <x:c r="J233" s="23" t="str"/>
      <x:c r="K233" s="23" t="str">
        <x:v>Required master data and user exist.</x:v>
      </x:c>
      <x:c r="L233" s="23" t="str">
        <x:v>Use dedicated non-production test data.</x:v>
      </x:c>
      <x:c r="M233" s="23" t="str">
        <x:v>1. Sign in as Privacy Tester. 2. Age test audit, portal and medical records past configured periods. 3. Save or submit. 4. Refresh or reopen the record. 5. Compare the result with the pass condition.</x:v>
      </x:c>
      <x:c r="N233" s="23" t="str">
        <x:v>Retention/deletion follows approved policy.</x:v>
      </x:c>
      <x:c r="O233" s="26" t="str">
        <x:v>Not Run</x:v>
      </x:c>
      <x:c r="P233" s="26" t="str"/>
      <x:c r="Q233" s="26" t="str"/>
      <x:c r="R233" s="26" t="str"/>
      <x:c r="S233" s="26" t="str"/>
      <x:c r="T233" s="26" t="str"/>
      <x:c r="U233" s="26" t="str">
        <x:v>QA</x:v>
      </x:c>
      <x:c r="V233" s="26" t="str"/>
      <x:c r="W233" s="29" t="str"/>
      <x:c r="X233" s="26" t="str"/>
      <x:c r="Y233" s="26" t="str">
        <x:v>Not Required</x:v>
      </x:c>
      <x:c r="Z233" s="26" t="str"/>
      <x:c r="AA233" s="28" t="n">
        <x:f>IF(OR(O233="Passed",O233="Failed",O233="Blocked"),1,0)</x:f>
        <x:v>0</x:v>
      </x:c>
      <x:c r="AB233" s="28" t="n">
        <x:f>IF(O233="Passed",1,0)</x:f>
        <x:v>0</x:v>
      </x:c>
      <x:c r="AC233" s="28" t="n">
        <x:f>IF(AND(OR(R233="Critical",R233="High"),OR(O233="Failed",O233="Blocked"),S233&lt;&gt;"Closed",S233&lt;&gt;"Rejected"),1,0)</x:f>
        <x:v>0</x:v>
      </x:c>
      <x:c r="AD233" s="28" t="n">
        <x:f>IF(X233&lt;&gt;"",1,0)</x:f>
        <x:v>0</x:v>
      </x:c>
      <x:c r="AE233" s="28" t="n">
        <x:f>IF(J233&lt;&gt;"",1,0)</x:f>
        <x:v>0</x:v>
      </x:c>
    </x:row>
    <x:row r="234">
      <x:c r="A234" s="23" t="str">
        <x:v>L3-025</x:v>
      </x:c>
      <x:c r="B234" s="23" t="str">
        <x:v>Level 3</x:v>
      </x:c>
      <x:c r="C234" s="23" t="str">
        <x:v>Privacy &amp; Medical Data</x:v>
      </x:c>
      <x:c r="D234" s="23" t="str"/>
      <x:c r="E234" s="23" t="str">
        <x:v>Support access</x:v>
      </x:c>
      <x:c r="F234" s="23" t="str">
        <x:v>Privacy</x:v>
      </x:c>
      <x:c r="G234" s="23" t="str">
        <x:v>Privacy Tester</x:v>
      </x:c>
      <x:c r="H234" s="23" t="str">
        <x:v>Critical</x:v>
      </x:c>
      <x:c r="I234" s="23" t="str">
        <x:v>Yes</x:v>
      </x:c>
      <x:c r="J234" s="23" t="str"/>
      <x:c r="K234" s="23" t="str">
        <x:v>Required master data and user exist.</x:v>
      </x:c>
      <x:c r="L234" s="23" t="str">
        <x:v>Use dedicated non-production test data.</x:v>
      </x:c>
      <x:c r="M234" s="23" t="str">
        <x:v>1. Sign in as Privacy Tester. 2. Use support/developer access to a tenant. 3. Save or submit. 4. Refresh or reopen the record. 5. Compare the result with the pass condition.</x:v>
      </x:c>
      <x:c r="N234" s="23" t="str">
        <x:v>Access is authorized, time-bound and auditable.</x:v>
      </x:c>
      <x:c r="O234" s="26" t="str">
        <x:v>Not Run</x:v>
      </x:c>
      <x:c r="P234" s="26" t="str"/>
      <x:c r="Q234" s="26" t="str"/>
      <x:c r="R234" s="26" t="str"/>
      <x:c r="S234" s="26" t="str"/>
      <x:c r="T234" s="26" t="str"/>
      <x:c r="U234" s="26" t="str">
        <x:v>QA</x:v>
      </x:c>
      <x:c r="V234" s="26" t="str"/>
      <x:c r="W234" s="29" t="str"/>
      <x:c r="X234" s="26" t="str"/>
      <x:c r="Y234" s="26" t="str">
        <x:v>Not Required</x:v>
      </x:c>
      <x:c r="Z234" s="26" t="str"/>
      <x:c r="AA234" s="28" t="n">
        <x:f>IF(OR(O234="Passed",O234="Failed",O234="Blocked"),1,0)</x:f>
        <x:v>0</x:v>
      </x:c>
      <x:c r="AB234" s="28" t="n">
        <x:f>IF(O234="Passed",1,0)</x:f>
        <x:v>0</x:v>
      </x:c>
      <x:c r="AC234" s="28" t="n">
        <x:f>IF(AND(OR(R234="Critical",R234="High"),OR(O234="Failed",O234="Blocked"),S234&lt;&gt;"Closed",S234&lt;&gt;"Rejected"),1,0)</x:f>
        <x:v>0</x:v>
      </x:c>
      <x:c r="AD234" s="28" t="n">
        <x:f>IF(X234&lt;&gt;"",1,0)</x:f>
        <x:v>0</x:v>
      </x:c>
      <x:c r="AE234" s="28" t="n">
        <x:f>IF(J234&lt;&gt;"",1,0)</x:f>
        <x:v>0</x:v>
      </x:c>
    </x:row>
    <x:row r="235">
      <x:c r="A235" s="23" t="str">
        <x:v>L3-026</x:v>
      </x:c>
      <x:c r="B235" s="23" t="str">
        <x:v>Level 3</x:v>
      </x:c>
      <x:c r="C235" s="23" t="str">
        <x:v>Privacy &amp; Medical Data</x:v>
      </x:c>
      <x:c r="D235" s="23" t="str"/>
      <x:c r="E235" s="23" t="str">
        <x:v>Privacy incident evidence</x:v>
      </x:c>
      <x:c r="F235" s="23" t="str">
        <x:v>Privacy</x:v>
      </x:c>
      <x:c r="G235" s="23" t="str">
        <x:v>Privacy Tester</x:v>
      </x:c>
      <x:c r="H235" s="23" t="str">
        <x:v>Critical</x:v>
      </x:c>
      <x:c r="I235" s="23" t="str">
        <x:v>Yes</x:v>
      </x:c>
      <x:c r="J235" s="23" t="str"/>
      <x:c r="K235" s="23" t="str">
        <x:v>Required master data and user exist.</x:v>
      </x:c>
      <x:c r="L235" s="23" t="str">
        <x:v>Use dedicated non-production test data.</x:v>
      </x:c>
      <x:c r="M235" s="23" t="str">
        <x:v>1. Sign in as Privacy Tester. 2. Trace one patient record across access logs. 3. Save or submit. 4. Refresh or reopen the record. 5. Compare the result with the pass condition.</x:v>
      </x:c>
      <x:c r="N235" s="23" t="str">
        <x:v>The organization can identify who accessed or changed it.</x:v>
      </x:c>
      <x:c r="O235" s="26" t="str">
        <x:v>Not Run</x:v>
      </x:c>
      <x:c r="P235" s="26" t="str"/>
      <x:c r="Q235" s="26" t="str"/>
      <x:c r="R235" s="26" t="str"/>
      <x:c r="S235" s="26" t="str"/>
      <x:c r="T235" s="26" t="str"/>
      <x:c r="U235" s="26" t="str">
        <x:v>QA</x:v>
      </x:c>
      <x:c r="V235" s="26" t="str"/>
      <x:c r="W235" s="29" t="str"/>
      <x:c r="X235" s="26" t="str"/>
      <x:c r="Y235" s="26" t="str">
        <x:v>Not Required</x:v>
      </x:c>
      <x:c r="Z235" s="26" t="str"/>
      <x:c r="AA235" s="28" t="n">
        <x:f>IF(OR(O235="Passed",O235="Failed",O235="Blocked"),1,0)</x:f>
        <x:v>0</x:v>
      </x:c>
      <x:c r="AB235" s="28" t="n">
        <x:f>IF(O235="Passed",1,0)</x:f>
        <x:v>0</x:v>
      </x:c>
      <x:c r="AC235" s="28" t="n">
        <x:f>IF(AND(OR(R235="Critical",R235="High"),OR(O235="Failed",O235="Blocked"),S235&lt;&gt;"Closed",S235&lt;&gt;"Rejected"),1,0)</x:f>
        <x:v>0</x:v>
      </x:c>
      <x:c r="AD235" s="28" t="n">
        <x:f>IF(X235&lt;&gt;"",1,0)</x:f>
        <x:v>0</x:v>
      </x:c>
      <x:c r="AE235" s="28" t="n">
        <x:f>IF(J235&lt;&gt;"",1,0)</x:f>
        <x:v>0</x:v>
      </x:c>
    </x:row>
    <x:row r="236">
      <x:c r="A236" s="23" t="str">
        <x:v>L3-027</x:v>
      </x:c>
      <x:c r="B236" s="23" t="str">
        <x:v>Level 3</x:v>
      </x:c>
      <x:c r="C236" s="23" t="str">
        <x:v>Performance &amp; Scale</x:v>
      </x:c>
      <x:c r="D236" s="23" t="str"/>
      <x:c r="E236" s="23" t="str">
        <x:v>Concurrent login</x:v>
      </x:c>
      <x:c r="F236" s="23" t="str">
        <x:v>Performance</x:v>
      </x:c>
      <x:c r="G236" s="23" t="str">
        <x:v>Performance Tester</x:v>
      </x:c>
      <x:c r="H236" s="23" t="str">
        <x:v>High</x:v>
      </x:c>
      <x:c r="I236" s="23" t="str">
        <x:v>Yes</x:v>
      </x:c>
      <x:c r="J236" s="23" t="str"/>
      <x:c r="K236" s="23" t="str">
        <x:v>Required master data and user exist.</x:v>
      </x:c>
      <x:c r="L236" s="23" t="str">
        <x:v>Use dedicated non-production test data.</x:v>
      </x:c>
      <x:c r="M236" s="23" t="str">
        <x:v>1. Sign in as Performance Tester. 2. Run expected peak staff/doctor/patient logins. 3. Save or submit. 4. Refresh or reopen the record. 5. Compare the result with the pass condition.</x:v>
      </x:c>
      <x:c r="N236" s="23" t="str">
        <x:v>Login remains within agreed response time and error rate.</x:v>
      </x:c>
      <x:c r="O236" s="26" t="str">
        <x:v>Not Run</x:v>
      </x:c>
      <x:c r="P236" s="26" t="str"/>
      <x:c r="Q236" s="26" t="str"/>
      <x:c r="R236" s="26" t="str"/>
      <x:c r="S236" s="26" t="str"/>
      <x:c r="T236" s="26" t="str"/>
      <x:c r="U236" s="26" t="str">
        <x:v>QA</x:v>
      </x:c>
      <x:c r="V236" s="26" t="str"/>
      <x:c r="W236" s="29" t="str"/>
      <x:c r="X236" s="26" t="str"/>
      <x:c r="Y236" s="26" t="str">
        <x:v>Not Required</x:v>
      </x:c>
      <x:c r="Z236" s="26" t="str"/>
      <x:c r="AA236" s="28" t="n">
        <x:f>IF(OR(O236="Passed",O236="Failed",O236="Blocked"),1,0)</x:f>
        <x:v>0</x:v>
      </x:c>
      <x:c r="AB236" s="28" t="n">
        <x:f>IF(O236="Passed",1,0)</x:f>
        <x:v>0</x:v>
      </x:c>
      <x:c r="AC236" s="28" t="n">
        <x:f>IF(AND(OR(R236="Critical",R236="High"),OR(O236="Failed",O236="Blocked"),S236&lt;&gt;"Closed",S236&lt;&gt;"Rejected"),1,0)</x:f>
        <x:v>0</x:v>
      </x:c>
      <x:c r="AD236" s="28" t="n">
        <x:f>IF(X236&lt;&gt;"",1,0)</x:f>
        <x:v>0</x:v>
      </x:c>
      <x:c r="AE236" s="28" t="n">
        <x:f>IF(J236&lt;&gt;"",1,0)</x:f>
        <x:v>0</x:v>
      </x:c>
    </x:row>
    <x:row r="237">
      <x:c r="A237" s="23" t="str">
        <x:v>L3-028</x:v>
      </x:c>
      <x:c r="B237" s="23" t="str">
        <x:v>Level 3</x:v>
      </x:c>
      <x:c r="C237" s="23" t="str">
        <x:v>Performance &amp; Scale</x:v>
      </x:c>
      <x:c r="D237" s="23" t="str"/>
      <x:c r="E237" s="23" t="str">
        <x:v>Patient search scale</x:v>
      </x:c>
      <x:c r="F237" s="23" t="str">
        <x:v>Performance</x:v>
      </x:c>
      <x:c r="G237" s="23" t="str">
        <x:v>Performance Tester</x:v>
      </x:c>
      <x:c r="H237" s="23" t="str">
        <x:v>High</x:v>
      </x:c>
      <x:c r="I237" s="23" t="str">
        <x:v>Yes</x:v>
      </x:c>
      <x:c r="J237" s="23" t="str"/>
      <x:c r="K237" s="23" t="str">
        <x:v>Required master data and user exist.</x:v>
      </x:c>
      <x:c r="L237" s="23" t="str">
        <x:v>Use dedicated non-production test data.</x:v>
      </x:c>
      <x:c r="M237" s="23" t="str">
        <x:v>1. Sign in as Performance Tester. 2. Search a production-sized patient dataset. 3. Save or submit. 4. Refresh or reopen the record. 5. Compare the result with the pass condition.</x:v>
      </x:c>
      <x:c r="N237" s="23" t="str">
        <x:v>Results return within the agreed SLA and remain correct.</x:v>
      </x:c>
      <x:c r="O237" s="26" t="str">
        <x:v>Not Run</x:v>
      </x:c>
      <x:c r="P237" s="26" t="str"/>
      <x:c r="Q237" s="26" t="str"/>
      <x:c r="R237" s="26" t="str"/>
      <x:c r="S237" s="26" t="str"/>
      <x:c r="T237" s="26" t="str"/>
      <x:c r="U237" s="26" t="str">
        <x:v>QA</x:v>
      </x:c>
      <x:c r="V237" s="26" t="str"/>
      <x:c r="W237" s="29" t="str"/>
      <x:c r="X237" s="26" t="str"/>
      <x:c r="Y237" s="26" t="str">
        <x:v>Not Required</x:v>
      </x:c>
      <x:c r="Z237" s="26" t="str"/>
      <x:c r="AA237" s="28" t="n">
        <x:f>IF(OR(O237="Passed",O237="Failed",O237="Blocked"),1,0)</x:f>
        <x:v>0</x:v>
      </x:c>
      <x:c r="AB237" s="28" t="n">
        <x:f>IF(O237="Passed",1,0)</x:f>
        <x:v>0</x:v>
      </x:c>
      <x:c r="AC237" s="28" t="n">
        <x:f>IF(AND(OR(R237="Critical",R237="High"),OR(O237="Failed",O237="Blocked"),S237&lt;&gt;"Closed",S237&lt;&gt;"Rejected"),1,0)</x:f>
        <x:v>0</x:v>
      </x:c>
      <x:c r="AD237" s="28" t="n">
        <x:f>IF(X237&lt;&gt;"",1,0)</x:f>
        <x:v>0</x:v>
      </x:c>
      <x:c r="AE237" s="28" t="n">
        <x:f>IF(J237&lt;&gt;"",1,0)</x:f>
        <x:v>0</x:v>
      </x:c>
    </x:row>
    <x:row r="238">
      <x:c r="A238" s="23" t="str">
        <x:v>L3-029</x:v>
      </x:c>
      <x:c r="B238" s="23" t="str">
        <x:v>Level 3</x:v>
      </x:c>
      <x:c r="C238" s="23" t="str">
        <x:v>Performance &amp; Scale</x:v>
      </x:c>
      <x:c r="D238" s="23" t="str"/>
      <x:c r="E238" s="23" t="str">
        <x:v>Billing concurrency</x:v>
      </x:c>
      <x:c r="F238" s="23" t="str">
        <x:v>Performance</x:v>
      </x:c>
      <x:c r="G238" s="23" t="str">
        <x:v>Performance Tester</x:v>
      </x:c>
      <x:c r="H238" s="23" t="str">
        <x:v>High</x:v>
      </x:c>
      <x:c r="I238" s="23" t="str">
        <x:v>Yes</x:v>
      </x:c>
      <x:c r="J238" s="23" t="str"/>
      <x:c r="K238" s="23" t="str">
        <x:v>Required master data and user exist.</x:v>
      </x:c>
      <x:c r="L238" s="23" t="str">
        <x:v>Use dedicated non-production test data.</x:v>
      </x:c>
      <x:c r="M238" s="23" t="str">
        <x:v>1. Sign in as Performance Tester. 2. Create bills and payments concurrently. 3. Save or submit. 4. Refresh or reopen the record. 5. Compare the result with the pass condition.</x:v>
      </x:c>
      <x:c r="N238" s="23" t="str">
        <x:v>No duplicate IDs, receipts or lost payments occur.</x:v>
      </x:c>
      <x:c r="O238" s="26" t="str">
        <x:v>Not Run</x:v>
      </x:c>
      <x:c r="P238" s="26" t="str"/>
      <x:c r="Q238" s="26" t="str"/>
      <x:c r="R238" s="26" t="str"/>
      <x:c r="S238" s="26" t="str"/>
      <x:c r="T238" s="26" t="str"/>
      <x:c r="U238" s="26" t="str">
        <x:v>QA</x:v>
      </x:c>
      <x:c r="V238" s="26" t="str"/>
      <x:c r="W238" s="29" t="str"/>
      <x:c r="X238" s="26" t="str"/>
      <x:c r="Y238" s="26" t="str">
        <x:v>Not Required</x:v>
      </x:c>
      <x:c r="Z238" s="26" t="str"/>
      <x:c r="AA238" s="28" t="n">
        <x:f>IF(OR(O238="Passed",O238="Failed",O238="Blocked"),1,0)</x:f>
        <x:v>0</x:v>
      </x:c>
      <x:c r="AB238" s="28" t="n">
        <x:f>IF(O238="Passed",1,0)</x:f>
        <x:v>0</x:v>
      </x:c>
      <x:c r="AC238" s="28" t="n">
        <x:f>IF(AND(OR(R238="Critical",R238="High"),OR(O238="Failed",O238="Blocked"),S238&lt;&gt;"Closed",S238&lt;&gt;"Rejected"),1,0)</x:f>
        <x:v>0</x:v>
      </x:c>
      <x:c r="AD238" s="28" t="n">
        <x:f>IF(X238&lt;&gt;"",1,0)</x:f>
        <x:v>0</x:v>
      </x:c>
      <x:c r="AE238" s="28" t="n">
        <x:f>IF(J238&lt;&gt;"",1,0)</x:f>
        <x:v>0</x:v>
      </x:c>
    </x:row>
    <x:row r="239">
      <x:c r="A239" s="23" t="str">
        <x:v>L3-030</x:v>
      </x:c>
      <x:c r="B239" s="23" t="str">
        <x:v>Level 3</x:v>
      </x:c>
      <x:c r="C239" s="23" t="str">
        <x:v>Performance &amp; Scale</x:v>
      </x:c>
      <x:c r="D239" s="23" t="str"/>
      <x:c r="E239" s="23" t="str">
        <x:v>Sample concurrency</x:v>
      </x:c>
      <x:c r="F239" s="23" t="str">
        <x:v>Performance</x:v>
      </x:c>
      <x:c r="G239" s="23" t="str">
        <x:v>Performance Tester</x:v>
      </x:c>
      <x:c r="H239" s="23" t="str">
        <x:v>High</x:v>
      </x:c>
      <x:c r="I239" s="23" t="str">
        <x:v>Yes</x:v>
      </x:c>
      <x:c r="J239" s="23" t="str"/>
      <x:c r="K239" s="23" t="str">
        <x:v>Required master data and user exist.</x:v>
      </x:c>
      <x:c r="L239" s="23" t="str">
        <x:v>Use dedicated non-production test data.</x:v>
      </x:c>
      <x:c r="M239" s="23" t="str">
        <x:v>1. Sign in as Performance Tester. 2. Create/collect/process many samples concurrently. 3. Save or submit. 4. Refresh or reopen the record. 5. Compare the result with the pass condition.</x:v>
      </x:c>
      <x:c r="N239" s="23" t="str">
        <x:v>IDs/statuses/custody remain correct.</x:v>
      </x:c>
      <x:c r="O239" s="26" t="str">
        <x:v>Not Run</x:v>
      </x:c>
      <x:c r="P239" s="26" t="str"/>
      <x:c r="Q239" s="26" t="str"/>
      <x:c r="R239" s="26" t="str"/>
      <x:c r="S239" s="26" t="str"/>
      <x:c r="T239" s="26" t="str"/>
      <x:c r="U239" s="26" t="str">
        <x:v>QA</x:v>
      </x:c>
      <x:c r="V239" s="26" t="str"/>
      <x:c r="W239" s="29" t="str"/>
      <x:c r="X239" s="26" t="str"/>
      <x:c r="Y239" s="26" t="str">
        <x:v>Not Required</x:v>
      </x:c>
      <x:c r="Z239" s="26" t="str"/>
      <x:c r="AA239" s="28" t="n">
        <x:f>IF(OR(O239="Passed",O239="Failed",O239="Blocked"),1,0)</x:f>
        <x:v>0</x:v>
      </x:c>
      <x:c r="AB239" s="28" t="n">
        <x:f>IF(O239="Passed",1,0)</x:f>
        <x:v>0</x:v>
      </x:c>
      <x:c r="AC239" s="28" t="n">
        <x:f>IF(AND(OR(R239="Critical",R239="High"),OR(O239="Failed",O239="Blocked"),S239&lt;&gt;"Closed",S239&lt;&gt;"Rejected"),1,0)</x:f>
        <x:v>0</x:v>
      </x:c>
      <x:c r="AD239" s="28" t="n">
        <x:f>IF(X239&lt;&gt;"",1,0)</x:f>
        <x:v>0</x:v>
      </x:c>
      <x:c r="AE239" s="28" t="n">
        <x:f>IF(J239&lt;&gt;"",1,0)</x:f>
        <x:v>0</x:v>
      </x:c>
    </x:row>
    <x:row r="240">
      <x:c r="A240" s="23" t="str">
        <x:v>L3-031</x:v>
      </x:c>
      <x:c r="B240" s="23" t="str">
        <x:v>Level 3</x:v>
      </x:c>
      <x:c r="C240" s="23" t="str">
        <x:v>Performance &amp; Scale</x:v>
      </x:c>
      <x:c r="D240" s="23" t="str"/>
      <x:c r="E240" s="23" t="str">
        <x:v>Report entry concurrency</x:v>
      </x:c>
      <x:c r="F240" s="23" t="str">
        <x:v>Performance</x:v>
      </x:c>
      <x:c r="G240" s="23" t="str">
        <x:v>Performance Tester</x:v>
      </x:c>
      <x:c r="H240" s="23" t="str">
        <x:v>High</x:v>
      </x:c>
      <x:c r="I240" s="23" t="str">
        <x:v>Yes</x:v>
      </x:c>
      <x:c r="J240" s="23" t="str"/>
      <x:c r="K240" s="23" t="str">
        <x:v>Required master data and user exist.</x:v>
      </x:c>
      <x:c r="L240" s="23" t="str">
        <x:v>Use dedicated non-production test data.</x:v>
      </x:c>
      <x:c r="M240" s="23" t="str">
        <x:v>1. Sign in as Performance Tester. 2. Enter and release multiple reports concurrently. 3. Save or submit. 4. Refresh or reopen the record. 5. Compare the result with the pass condition.</x:v>
      </x:c>
      <x:c r="N240" s="23" t="str">
        <x:v>No overwritten results or invalid transitions occur.</x:v>
      </x:c>
      <x:c r="O240" s="26" t="str">
        <x:v>Not Run</x:v>
      </x:c>
      <x:c r="P240" s="26" t="str"/>
      <x:c r="Q240" s="26" t="str"/>
      <x:c r="R240" s="26" t="str"/>
      <x:c r="S240" s="26" t="str"/>
      <x:c r="T240" s="26" t="str"/>
      <x:c r="U240" s="26" t="str">
        <x:v>QA</x:v>
      </x:c>
      <x:c r="V240" s="26" t="str"/>
      <x:c r="W240" s="29" t="str"/>
      <x:c r="X240" s="26" t="str"/>
      <x:c r="Y240" s="26" t="str">
        <x:v>Not Required</x:v>
      </x:c>
      <x:c r="Z240" s="26" t="str"/>
      <x:c r="AA240" s="28" t="n">
        <x:f>IF(OR(O240="Passed",O240="Failed",O240="Blocked"),1,0)</x:f>
        <x:v>0</x:v>
      </x:c>
      <x:c r="AB240" s="28" t="n">
        <x:f>IF(O240="Passed",1,0)</x:f>
        <x:v>0</x:v>
      </x:c>
      <x:c r="AC240" s="28" t="n">
        <x:f>IF(AND(OR(R240="Critical",R240="High"),OR(O240="Failed",O240="Blocked"),S240&lt;&gt;"Closed",S240&lt;&gt;"Rejected"),1,0)</x:f>
        <x:v>0</x:v>
      </x:c>
      <x:c r="AD240" s="28" t="n">
        <x:f>IF(X240&lt;&gt;"",1,0)</x:f>
        <x:v>0</x:v>
      </x:c>
      <x:c r="AE240" s="28" t="n">
        <x:f>IF(J240&lt;&gt;"",1,0)</x:f>
        <x:v>0</x:v>
      </x:c>
    </x:row>
    <x:row r="241">
      <x:c r="A241" s="23" t="str">
        <x:v>L3-032</x:v>
      </x:c>
      <x:c r="B241" s="23" t="str">
        <x:v>Level 3</x:v>
      </x:c>
      <x:c r="C241" s="23" t="str">
        <x:v>Performance &amp; Scale</x:v>
      </x:c>
      <x:c r="D241" s="23" t="str"/>
      <x:c r="E241" s="23" t="str">
        <x:v>Dashboard load</x:v>
      </x:c>
      <x:c r="F241" s="23" t="str">
        <x:v>Performance</x:v>
      </x:c>
      <x:c r="G241" s="23" t="str">
        <x:v>Performance Tester</x:v>
      </x:c>
      <x:c r="H241" s="23" t="str">
        <x:v>High</x:v>
      </x:c>
      <x:c r="I241" s="23" t="str">
        <x:v>Yes</x:v>
      </x:c>
      <x:c r="J241" s="23" t="str"/>
      <x:c r="K241" s="23" t="str">
        <x:v>Required master data and user exist.</x:v>
      </x:c>
      <x:c r="L241" s="23" t="str">
        <x:v>Use dedicated non-production test data.</x:v>
      </x:c>
      <x:c r="M241" s="23" t="str">
        <x:v>1. Sign in as Performance Tester. 2. Open dashboards during peak transactions. 3. Save or submit. 4. Refresh or reopen the record. 5. Compare the result with the pass condition.</x:v>
      </x:c>
      <x:c r="N241" s="23" t="str">
        <x:v>Dashboard does not degrade core workflow beyond SLA.</x:v>
      </x:c>
      <x:c r="O241" s="26" t="str">
        <x:v>Not Run</x:v>
      </x:c>
      <x:c r="P241" s="26" t="str"/>
      <x:c r="Q241" s="26" t="str"/>
      <x:c r="R241" s="26" t="str"/>
      <x:c r="S241" s="26" t="str"/>
      <x:c r="T241" s="26" t="str"/>
      <x:c r="U241" s="26" t="str">
        <x:v>QA</x:v>
      </x:c>
      <x:c r="V241" s="26" t="str"/>
      <x:c r="W241" s="29" t="str"/>
      <x:c r="X241" s="26" t="str"/>
      <x:c r="Y241" s="26" t="str">
        <x:v>Not Required</x:v>
      </x:c>
      <x:c r="Z241" s="26" t="str"/>
      <x:c r="AA241" s="28" t="n">
        <x:f>IF(OR(O241="Passed",O241="Failed",O241="Blocked"),1,0)</x:f>
        <x:v>0</x:v>
      </x:c>
      <x:c r="AB241" s="28" t="n">
        <x:f>IF(O241="Passed",1,0)</x:f>
        <x:v>0</x:v>
      </x:c>
      <x:c r="AC241" s="28" t="n">
        <x:f>IF(AND(OR(R241="Critical",R241="High"),OR(O241="Failed",O241="Blocked"),S241&lt;&gt;"Closed",S241&lt;&gt;"Rejected"),1,0)</x:f>
        <x:v>0</x:v>
      </x:c>
      <x:c r="AD241" s="28" t="n">
        <x:f>IF(X241&lt;&gt;"",1,0)</x:f>
        <x:v>0</x:v>
      </x:c>
      <x:c r="AE241" s="28" t="n">
        <x:f>IF(J241&lt;&gt;"",1,0)</x:f>
        <x:v>0</x:v>
      </x:c>
    </x:row>
    <x:row r="242">
      <x:c r="A242" s="23" t="str">
        <x:v>L3-033</x:v>
      </x:c>
      <x:c r="B242" s="23" t="str">
        <x:v>Level 3</x:v>
      </x:c>
      <x:c r="C242" s="23" t="str">
        <x:v>Performance &amp; Scale</x:v>
      </x:c>
      <x:c r="D242" s="23" t="str"/>
      <x:c r="E242" s="23" t="str">
        <x:v>Large pagination</x:v>
      </x:c>
      <x:c r="F242" s="23" t="str">
        <x:v>Performance</x:v>
      </x:c>
      <x:c r="G242" s="23" t="str">
        <x:v>Performance Tester</x:v>
      </x:c>
      <x:c r="H242" s="23" t="str">
        <x:v>High</x:v>
      </x:c>
      <x:c r="I242" s="23" t="str">
        <x:v>Yes</x:v>
      </x:c>
      <x:c r="J242" s="23" t="str"/>
      <x:c r="K242" s="23" t="str">
        <x:v>Required master data and user exist.</x:v>
      </x:c>
      <x:c r="L242" s="23" t="str">
        <x:v>Use dedicated non-production test data.</x:v>
      </x:c>
      <x:c r="M242" s="23" t="str">
        <x:v>1. Sign in as Performance Tester. 2. Use first/middle/last pages for large datasets. 3. Save or submit. 4. Refresh or reopen the record. 5. Compare the result with the pass condition.</x:v>
      </x:c>
      <x:c r="N242" s="23" t="str">
        <x:v>Stable ordering, counts and response time meet SLA.</x:v>
      </x:c>
      <x:c r="O242" s="26" t="str">
        <x:v>Not Run</x:v>
      </x:c>
      <x:c r="P242" s="26" t="str"/>
      <x:c r="Q242" s="26" t="str"/>
      <x:c r="R242" s="26" t="str"/>
      <x:c r="S242" s="26" t="str"/>
      <x:c r="T242" s="26" t="str"/>
      <x:c r="U242" s="26" t="str">
        <x:v>QA</x:v>
      </x:c>
      <x:c r="V242" s="26" t="str"/>
      <x:c r="W242" s="29" t="str"/>
      <x:c r="X242" s="26" t="str"/>
      <x:c r="Y242" s="26" t="str">
        <x:v>Not Required</x:v>
      </x:c>
      <x:c r="Z242" s="26" t="str"/>
      <x:c r="AA242" s="28" t="n">
        <x:f>IF(OR(O242="Passed",O242="Failed",O242="Blocked"),1,0)</x:f>
        <x:v>0</x:v>
      </x:c>
      <x:c r="AB242" s="28" t="n">
        <x:f>IF(O242="Passed",1,0)</x:f>
        <x:v>0</x:v>
      </x:c>
      <x:c r="AC242" s="28" t="n">
        <x:f>IF(AND(OR(R242="Critical",R242="High"),OR(O242="Failed",O242="Blocked"),S242&lt;&gt;"Closed",S242&lt;&gt;"Rejected"),1,0)</x:f>
        <x:v>0</x:v>
      </x:c>
      <x:c r="AD242" s="28" t="n">
        <x:f>IF(X242&lt;&gt;"",1,0)</x:f>
        <x:v>0</x:v>
      </x:c>
      <x:c r="AE242" s="28" t="n">
        <x:f>IF(J242&lt;&gt;"",1,0)</x:f>
        <x:v>0</x:v>
      </x:c>
    </x:row>
    <x:row r="243">
      <x:c r="A243" s="23" t="str">
        <x:v>L3-034</x:v>
      </x:c>
      <x:c r="B243" s="23" t="str">
        <x:v>Level 3</x:v>
      </x:c>
      <x:c r="C243" s="23" t="str">
        <x:v>Performance &amp; Scale</x:v>
      </x:c>
      <x:c r="D243" s="23" t="str"/>
      <x:c r="E243" s="23" t="str">
        <x:v>Large report PDF</x:v>
      </x:c>
      <x:c r="F243" s="23" t="str">
        <x:v>Performance</x:v>
      </x:c>
      <x:c r="G243" s="23" t="str">
        <x:v>Performance Tester</x:v>
      </x:c>
      <x:c r="H243" s="23" t="str">
        <x:v>High</x:v>
      </x:c>
      <x:c r="I243" s="23" t="str">
        <x:v>Yes</x:v>
      </x:c>
      <x:c r="J243" s="23" t="str"/>
      <x:c r="K243" s="23" t="str">
        <x:v>Required master data and user exist.</x:v>
      </x:c>
      <x:c r="L243" s="23" t="str">
        <x:v>Use dedicated non-production test data.</x:v>
      </x:c>
      <x:c r="M243" s="23" t="str">
        <x:v>1. Sign in as Performance Tester. 2. Generate reports with many tests/parameters. 3. Save or submit. 4. Refresh or reopen the record. 5. Compare the result with the pass condition.</x:v>
      </x:c>
      <x:c r="N243" s="23" t="str">
        <x:v>PDF completes within SLA with correct layout.</x:v>
      </x:c>
      <x:c r="O243" s="26" t="str">
        <x:v>Not Run</x:v>
      </x:c>
      <x:c r="P243" s="26" t="str"/>
      <x:c r="Q243" s="26" t="str"/>
      <x:c r="R243" s="26" t="str"/>
      <x:c r="S243" s="26" t="str"/>
      <x:c r="T243" s="26" t="str"/>
      <x:c r="U243" s="26" t="str">
        <x:v>QA</x:v>
      </x:c>
      <x:c r="V243" s="26" t="str"/>
      <x:c r="W243" s="29" t="str"/>
      <x:c r="X243" s="26" t="str"/>
      <x:c r="Y243" s="26" t="str">
        <x:v>Not Required</x:v>
      </x:c>
      <x:c r="Z243" s="26" t="str"/>
      <x:c r="AA243" s="28" t="n">
        <x:f>IF(OR(O243="Passed",O243="Failed",O243="Blocked"),1,0)</x:f>
        <x:v>0</x:v>
      </x:c>
      <x:c r="AB243" s="28" t="n">
        <x:f>IF(O243="Passed",1,0)</x:f>
        <x:v>0</x:v>
      </x:c>
      <x:c r="AC243" s="28" t="n">
        <x:f>IF(AND(OR(R243="Critical",R243="High"),OR(O243="Failed",O243="Blocked"),S243&lt;&gt;"Closed",S243&lt;&gt;"Rejected"),1,0)</x:f>
        <x:v>0</x:v>
      </x:c>
      <x:c r="AD243" s="28" t="n">
        <x:f>IF(X243&lt;&gt;"",1,0)</x:f>
        <x:v>0</x:v>
      </x:c>
      <x:c r="AE243" s="28" t="n">
        <x:f>IF(J243&lt;&gt;"",1,0)</x:f>
        <x:v>0</x:v>
      </x:c>
    </x:row>
    <x:row r="244">
      <x:c r="A244" s="23" t="str">
        <x:v>L3-035</x:v>
      </x:c>
      <x:c r="B244" s="23" t="str">
        <x:v>Level 3</x:v>
      </x:c>
      <x:c r="C244" s="23" t="str">
        <x:v>Performance &amp; Scale</x:v>
      </x:c>
      <x:c r="D244" s="23" t="str"/>
      <x:c r="E244" s="23" t="str">
        <x:v>Export volume</x:v>
      </x:c>
      <x:c r="F244" s="23" t="str">
        <x:v>Performance</x:v>
      </x:c>
      <x:c r="G244" s="23" t="str">
        <x:v>Performance Tester</x:v>
      </x:c>
      <x:c r="H244" s="23" t="str">
        <x:v>High</x:v>
      </x:c>
      <x:c r="I244" s="23" t="str">
        <x:v>Yes</x:v>
      </x:c>
      <x:c r="J244" s="23" t="str"/>
      <x:c r="K244" s="23" t="str">
        <x:v>Required master data and user exist.</x:v>
      </x:c>
      <x:c r="L244" s="23" t="str">
        <x:v>Use dedicated non-production test data.</x:v>
      </x:c>
      <x:c r="M244" s="23" t="str">
        <x:v>1. Sign in as Performance Tester. 2. Export production-sized ledger/inventory datasets. 3. Save or submit. 4. Refresh or reopen the record. 5. Compare the result with the pass condition.</x:v>
      </x:c>
      <x:c r="N244" s="23" t="str">
        <x:v>Export completes without timeout or memory failure.</x:v>
      </x:c>
      <x:c r="O244" s="26" t="str">
        <x:v>Not Run</x:v>
      </x:c>
      <x:c r="P244" s="26" t="str"/>
      <x:c r="Q244" s="26" t="str"/>
      <x:c r="R244" s="26" t="str"/>
      <x:c r="S244" s="26" t="str"/>
      <x:c r="T244" s="26" t="str"/>
      <x:c r="U244" s="26" t="str">
        <x:v>QA</x:v>
      </x:c>
      <x:c r="V244" s="26" t="str"/>
      <x:c r="W244" s="29" t="str"/>
      <x:c r="X244" s="26" t="str"/>
      <x:c r="Y244" s="26" t="str">
        <x:v>Not Required</x:v>
      </x:c>
      <x:c r="Z244" s="26" t="str"/>
      <x:c r="AA244" s="28" t="n">
        <x:f>IF(OR(O244="Passed",O244="Failed",O244="Blocked"),1,0)</x:f>
        <x:v>0</x:v>
      </x:c>
      <x:c r="AB244" s="28" t="n">
        <x:f>IF(O244="Passed",1,0)</x:f>
        <x:v>0</x:v>
      </x:c>
      <x:c r="AC244" s="28" t="n">
        <x:f>IF(AND(OR(R244="Critical",R244="High"),OR(O244="Failed",O244="Blocked"),S244&lt;&gt;"Closed",S244&lt;&gt;"Rejected"),1,0)</x:f>
        <x:v>0</x:v>
      </x:c>
      <x:c r="AD244" s="28" t="n">
        <x:f>IF(X244&lt;&gt;"",1,0)</x:f>
        <x:v>0</x:v>
      </x:c>
      <x:c r="AE244" s="28" t="n">
        <x:f>IF(J244&lt;&gt;"",1,0)</x:f>
        <x:v>0</x:v>
      </x:c>
    </x:row>
    <x:row r="245">
      <x:c r="A245" s="23" t="str">
        <x:v>L3-036</x:v>
      </x:c>
      <x:c r="B245" s="23" t="str">
        <x:v>Level 3</x:v>
      </x:c>
      <x:c r="C245" s="23" t="str">
        <x:v>Performance &amp; Scale</x:v>
      </x:c>
      <x:c r="D245" s="23" t="str"/>
      <x:c r="E245" s="23" t="str">
        <x:v>Notification burst</x:v>
      </x:c>
      <x:c r="F245" s="23" t="str">
        <x:v>Performance</x:v>
      </x:c>
      <x:c r="G245" s="23" t="str">
        <x:v>Performance Tester</x:v>
      </x:c>
      <x:c r="H245" s="23" t="str">
        <x:v>High</x:v>
      </x:c>
      <x:c r="I245" s="23" t="str">
        <x:v>Yes</x:v>
      </x:c>
      <x:c r="J245" s="23" t="str"/>
      <x:c r="K245" s="23" t="str">
        <x:v>Required master data and user exist.</x:v>
      </x:c>
      <x:c r="L245" s="23" t="str">
        <x:v>Use dedicated non-production test data.</x:v>
      </x:c>
      <x:c r="M245" s="23" t="str">
        <x:v>1. Sign in as Performance Tester. 2. Release many reports and trigger stock alerts. 3. Save or submit. 4. Refresh or reopen the record. 5. Compare the result with the pass condition.</x:v>
      </x:c>
      <x:c r="N245" s="23" t="str">
        <x:v>Notifications do not duplicate or block core work.</x:v>
      </x:c>
      <x:c r="O245" s="26" t="str">
        <x:v>Not Run</x:v>
      </x:c>
      <x:c r="P245" s="26" t="str"/>
      <x:c r="Q245" s="26" t="str"/>
      <x:c r="R245" s="26" t="str"/>
      <x:c r="S245" s="26" t="str"/>
      <x:c r="T245" s="26" t="str"/>
      <x:c r="U245" s="26" t="str">
        <x:v>QA</x:v>
      </x:c>
      <x:c r="V245" s="26" t="str"/>
      <x:c r="W245" s="29" t="str"/>
      <x:c r="X245" s="26" t="str"/>
      <x:c r="Y245" s="26" t="str">
        <x:v>Not Required</x:v>
      </x:c>
      <x:c r="Z245" s="26" t="str"/>
      <x:c r="AA245" s="28" t="n">
        <x:f>IF(OR(O245="Passed",O245="Failed",O245="Blocked"),1,0)</x:f>
        <x:v>0</x:v>
      </x:c>
      <x:c r="AB245" s="28" t="n">
        <x:f>IF(O245="Passed",1,0)</x:f>
        <x:v>0</x:v>
      </x:c>
      <x:c r="AC245" s="28" t="n">
        <x:f>IF(AND(OR(R245="Critical",R245="High"),OR(O245="Failed",O245="Blocked"),S245&lt;&gt;"Closed",S245&lt;&gt;"Rejected"),1,0)</x:f>
        <x:v>0</x:v>
      </x:c>
      <x:c r="AD245" s="28" t="n">
        <x:f>IF(X245&lt;&gt;"",1,0)</x:f>
        <x:v>0</x:v>
      </x:c>
      <x:c r="AE245" s="28" t="n">
        <x:f>IF(J245&lt;&gt;"",1,0)</x:f>
        <x:v>0</x:v>
      </x:c>
    </x:row>
    <x:row r="246">
      <x:c r="A246" s="23" t="str">
        <x:v>L3-037</x:v>
      </x:c>
      <x:c r="B246" s="23" t="str">
        <x:v>Level 3</x:v>
      </x:c>
      <x:c r="C246" s="23" t="str">
        <x:v>Performance &amp; Scale</x:v>
      </x:c>
      <x:c r="D246" s="23" t="str"/>
      <x:c r="E246" s="23" t="str">
        <x:v>Long-running soak</x:v>
      </x:c>
      <x:c r="F246" s="23" t="str">
        <x:v>Performance</x:v>
      </x:c>
      <x:c r="G246" s="23" t="str">
        <x:v>Performance Tester</x:v>
      </x:c>
      <x:c r="H246" s="23" t="str">
        <x:v>High</x:v>
      </x:c>
      <x:c r="I246" s="23" t="str">
        <x:v>Yes</x:v>
      </x:c>
      <x:c r="J246" s="23" t="str"/>
      <x:c r="K246" s="23" t="str">
        <x:v>Required master data and user exist.</x:v>
      </x:c>
      <x:c r="L246" s="23" t="str">
        <x:v>Use dedicated non-production test data.</x:v>
      </x:c>
      <x:c r="M246" s="23" t="str">
        <x:v>1. Sign in as Performance Tester. 2. Run realistic transactions for the agreed soak duration. 3. Save or submit. 4. Refresh or reopen the record. 5. Compare the result with the pass condition.</x:v>
      </x:c>
      <x:c r="N246" s="23" t="str">
        <x:v>Memory, connection and error rates remain stable.</x:v>
      </x:c>
      <x:c r="O246" s="26" t="str">
        <x:v>Not Run</x:v>
      </x:c>
      <x:c r="P246" s="26" t="str"/>
      <x:c r="Q246" s="26" t="str"/>
      <x:c r="R246" s="26" t="str"/>
      <x:c r="S246" s="26" t="str"/>
      <x:c r="T246" s="26" t="str"/>
      <x:c r="U246" s="26" t="str">
        <x:v>QA</x:v>
      </x:c>
      <x:c r="V246" s="26" t="str"/>
      <x:c r="W246" s="29" t="str"/>
      <x:c r="X246" s="26" t="str"/>
      <x:c r="Y246" s="26" t="str">
        <x:v>Not Required</x:v>
      </x:c>
      <x:c r="Z246" s="26" t="str"/>
      <x:c r="AA246" s="28" t="n">
        <x:f>IF(OR(O246="Passed",O246="Failed",O246="Blocked"),1,0)</x:f>
        <x:v>0</x:v>
      </x:c>
      <x:c r="AB246" s="28" t="n">
        <x:f>IF(O246="Passed",1,0)</x:f>
        <x:v>0</x:v>
      </x:c>
      <x:c r="AC246" s="28" t="n">
        <x:f>IF(AND(OR(R246="Critical",R246="High"),OR(O246="Failed",O246="Blocked"),S246&lt;&gt;"Closed",S246&lt;&gt;"Rejected"),1,0)</x:f>
        <x:v>0</x:v>
      </x:c>
      <x:c r="AD246" s="28" t="n">
        <x:f>IF(X246&lt;&gt;"",1,0)</x:f>
        <x:v>0</x:v>
      </x:c>
      <x:c r="AE246" s="28" t="n">
        <x:f>IF(J246&lt;&gt;"",1,0)</x:f>
        <x:v>0</x:v>
      </x:c>
    </x:row>
    <x:row r="247">
      <x:c r="A247" s="23" t="str">
        <x:v>L3-038</x:v>
      </x:c>
      <x:c r="B247" s="23" t="str">
        <x:v>Level 3</x:v>
      </x:c>
      <x:c r="C247" s="23" t="str">
        <x:v>Performance &amp; Scale</x:v>
      </x:c>
      <x:c r="D247" s="23" t="str"/>
      <x:c r="E247" s="23" t="str">
        <x:v>Recovery after load</x:v>
      </x:c>
      <x:c r="F247" s="23" t="str">
        <x:v>Performance</x:v>
      </x:c>
      <x:c r="G247" s="23" t="str">
        <x:v>Performance Tester</x:v>
      </x:c>
      <x:c r="H247" s="23" t="str">
        <x:v>High</x:v>
      </x:c>
      <x:c r="I247" s="23" t="str">
        <x:v>Yes</x:v>
      </x:c>
      <x:c r="J247" s="23" t="str"/>
      <x:c r="K247" s="23" t="str">
        <x:v>Required master data and user exist.</x:v>
      </x:c>
      <x:c r="L247" s="23" t="str">
        <x:v>Use dedicated non-production test data.</x:v>
      </x:c>
      <x:c r="M247" s="23" t="str">
        <x:v>1. Sign in as Performance Tester. 2. Stop the load and continue normal use. 3. Save or submit. 4. Refresh or reopen the record. 5. Compare the result with the pass condition.</x:v>
      </x:c>
      <x:c r="N247" s="23" t="str">
        <x:v>The system returns to normal without manual restart.</x:v>
      </x:c>
      <x:c r="O247" s="26" t="str">
        <x:v>Not Run</x:v>
      </x:c>
      <x:c r="P247" s="26" t="str"/>
      <x:c r="Q247" s="26" t="str"/>
      <x:c r="R247" s="26" t="str"/>
      <x:c r="S247" s="26" t="str"/>
      <x:c r="T247" s="26" t="str"/>
      <x:c r="U247" s="26" t="str">
        <x:v>QA</x:v>
      </x:c>
      <x:c r="V247" s="26" t="str"/>
      <x:c r="W247" s="29" t="str"/>
      <x:c r="X247" s="26" t="str"/>
      <x:c r="Y247" s="26" t="str">
        <x:v>Not Required</x:v>
      </x:c>
      <x:c r="Z247" s="26" t="str"/>
      <x:c r="AA247" s="28" t="n">
        <x:f>IF(OR(O247="Passed",O247="Failed",O247="Blocked"),1,0)</x:f>
        <x:v>0</x:v>
      </x:c>
      <x:c r="AB247" s="28" t="n">
        <x:f>IF(O247="Passed",1,0)</x:f>
        <x:v>0</x:v>
      </x:c>
      <x:c r="AC247" s="28" t="n">
        <x:f>IF(AND(OR(R247="Critical",R247="High"),OR(O247="Failed",O247="Blocked"),S247&lt;&gt;"Closed",S247&lt;&gt;"Rejected"),1,0)</x:f>
        <x:v>0</x:v>
      </x:c>
      <x:c r="AD247" s="28" t="n">
        <x:f>IF(X247&lt;&gt;"",1,0)</x:f>
        <x:v>0</x:v>
      </x:c>
      <x:c r="AE247" s="28" t="n">
        <x:f>IF(J247&lt;&gt;"",1,0)</x:f>
        <x:v>0</x:v>
      </x:c>
    </x:row>
    <x:row r="248">
      <x:c r="A248" s="23" t="str">
        <x:v>L3-039</x:v>
      </x:c>
      <x:c r="B248" s="23" t="str">
        <x:v>Level 3</x:v>
      </x:c>
      <x:c r="C248" s="23" t="str">
        <x:v>Reliability, Backup &amp; Recovery</x:v>
      </x:c>
      <x:c r="D248" s="23" t="str"/>
      <x:c r="E248" s="23" t="str">
        <x:v>Transactional rollback</x:v>
      </x:c>
      <x:c r="F248" s="23" t="str">
        <x:v>Recovery</x:v>
      </x:c>
      <x:c r="G248" s="23" t="str">
        <x:v>Release Tester</x:v>
      </x:c>
      <x:c r="H248" s="23" t="str">
        <x:v>Critical</x:v>
      </x:c>
      <x:c r="I248" s="23" t="str">
        <x:v>Yes</x:v>
      </x:c>
      <x:c r="J248" s="23" t="str"/>
      <x:c r="K248" s="23" t="str">
        <x:v>Required master data and user exist.</x:v>
      </x:c>
      <x:c r="L248" s="23" t="str">
        <x:v>Use dedicated non-production test data.</x:v>
      </x:c>
      <x:c r="M248" s="23" t="str">
        <x:v>1. Sign in as Release Tester. 2. Force failure during patient+bill+sample creation. 3. Save or submit. 4. Refresh or reopen the record. 5. Compare the result with the pass condition.</x:v>
      </x:c>
      <x:c r="N248" s="23" t="str">
        <x:v>No partial linked records remain.</x:v>
      </x:c>
      <x:c r="O248" s="26" t="str">
        <x:v>Not Run</x:v>
      </x:c>
      <x:c r="P248" s="26" t="str"/>
      <x:c r="Q248" s="26" t="str"/>
      <x:c r="R248" s="26" t="str"/>
      <x:c r="S248" s="26" t="str"/>
      <x:c r="T248" s="26" t="str"/>
      <x:c r="U248" s="26" t="str">
        <x:v>QA</x:v>
      </x:c>
      <x:c r="V248" s="26" t="str"/>
      <x:c r="W248" s="29" t="str"/>
      <x:c r="X248" s="26" t="str"/>
      <x:c r="Y248" s="26" t="str">
        <x:v>Not Required</x:v>
      </x:c>
      <x:c r="Z248" s="26" t="str"/>
      <x:c r="AA248" s="28" t="n">
        <x:f>IF(OR(O248="Passed",O248="Failed",O248="Blocked"),1,0)</x:f>
        <x:v>0</x:v>
      </x:c>
      <x:c r="AB248" s="28" t="n">
        <x:f>IF(O248="Passed",1,0)</x:f>
        <x:v>0</x:v>
      </x:c>
      <x:c r="AC248" s="28" t="n">
        <x:f>IF(AND(OR(R248="Critical",R248="High"),OR(O248="Failed",O248="Blocked"),S248&lt;&gt;"Closed",S248&lt;&gt;"Rejected"),1,0)</x:f>
        <x:v>0</x:v>
      </x:c>
      <x:c r="AD248" s="28" t="n">
        <x:f>IF(X248&lt;&gt;"",1,0)</x:f>
        <x:v>0</x:v>
      </x:c>
      <x:c r="AE248" s="28" t="n">
        <x:f>IF(J248&lt;&gt;"",1,0)</x:f>
        <x:v>0</x:v>
      </x:c>
    </x:row>
    <x:row r="249">
      <x:c r="A249" s="23" t="str">
        <x:v>L3-040</x:v>
      </x:c>
      <x:c r="B249" s="23" t="str">
        <x:v>Level 3</x:v>
      </x:c>
      <x:c r="C249" s="23" t="str">
        <x:v>Reliability, Backup &amp; Recovery</x:v>
      </x:c>
      <x:c r="D249" s="23" t="str"/>
      <x:c r="E249" s="23" t="str">
        <x:v>Payment rollback</x:v>
      </x:c>
      <x:c r="F249" s="23" t="str">
        <x:v>Recovery</x:v>
      </x:c>
      <x:c r="G249" s="23" t="str">
        <x:v>Release Tester</x:v>
      </x:c>
      <x:c r="H249" s="23" t="str">
        <x:v>Critical</x:v>
      </x:c>
      <x:c r="I249" s="23" t="str">
        <x:v>Yes</x:v>
      </x:c>
      <x:c r="J249" s="23" t="str"/>
      <x:c r="K249" s="23" t="str">
        <x:v>Required master data and user exist.</x:v>
      </x:c>
      <x:c r="L249" s="23" t="str">
        <x:v>Use dedicated non-production test data.</x:v>
      </x:c>
      <x:c r="M249" s="23" t="str">
        <x:v>1. Sign in as Release Tester. 2. Force failure after payment starts. 3. Save or submit. 4. Refresh or reopen the record. 5. Compare the result with the pass condition.</x:v>
      </x:c>
      <x:c r="N249" s="23" t="str">
        <x:v>No mismatched bill, receipt or journal remains.</x:v>
      </x:c>
      <x:c r="O249" s="26" t="str">
        <x:v>Not Run</x:v>
      </x:c>
      <x:c r="P249" s="26" t="str"/>
      <x:c r="Q249" s="26" t="str"/>
      <x:c r="R249" s="26" t="str"/>
      <x:c r="S249" s="26" t="str"/>
      <x:c r="T249" s="26" t="str"/>
      <x:c r="U249" s="26" t="str">
        <x:v>QA</x:v>
      </x:c>
      <x:c r="V249" s="26" t="str"/>
      <x:c r="W249" s="29" t="str"/>
      <x:c r="X249" s="26" t="str"/>
      <x:c r="Y249" s="26" t="str">
        <x:v>Not Required</x:v>
      </x:c>
      <x:c r="Z249" s="26" t="str"/>
      <x:c r="AA249" s="28" t="n">
        <x:f>IF(OR(O249="Passed",O249="Failed",O249="Blocked"),1,0)</x:f>
        <x:v>0</x:v>
      </x:c>
      <x:c r="AB249" s="28" t="n">
        <x:f>IF(O249="Passed",1,0)</x:f>
        <x:v>0</x:v>
      </x:c>
      <x:c r="AC249" s="28" t="n">
        <x:f>IF(AND(OR(R249="Critical",R249="High"),OR(O249="Failed",O249="Blocked"),S249&lt;&gt;"Closed",S249&lt;&gt;"Rejected"),1,0)</x:f>
        <x:v>0</x:v>
      </x:c>
      <x:c r="AD249" s="28" t="n">
        <x:f>IF(X249&lt;&gt;"",1,0)</x:f>
        <x:v>0</x:v>
      </x:c>
      <x:c r="AE249" s="28" t="n">
        <x:f>IF(J249&lt;&gt;"",1,0)</x:f>
        <x:v>0</x:v>
      </x:c>
    </x:row>
    <x:row r="250">
      <x:c r="A250" s="23" t="str">
        <x:v>L3-041</x:v>
      </x:c>
      <x:c r="B250" s="23" t="str">
        <x:v>Level 3</x:v>
      </x:c>
      <x:c r="C250" s="23" t="str">
        <x:v>Reliability, Backup &amp; Recovery</x:v>
      </x:c>
      <x:c r="D250" s="23" t="str"/>
      <x:c r="E250" s="23" t="str">
        <x:v>Report release rollback</x:v>
      </x:c>
      <x:c r="F250" s="23" t="str">
        <x:v>Recovery</x:v>
      </x:c>
      <x:c r="G250" s="23" t="str">
        <x:v>Release Tester</x:v>
      </x:c>
      <x:c r="H250" s="23" t="str">
        <x:v>Critical</x:v>
      </x:c>
      <x:c r="I250" s="23" t="str">
        <x:v>Yes</x:v>
      </x:c>
      <x:c r="J250" s="23" t="str"/>
      <x:c r="K250" s="23" t="str">
        <x:v>Required master data and user exist.</x:v>
      </x:c>
      <x:c r="L250" s="23" t="str">
        <x:v>Use dedicated non-production test data.</x:v>
      </x:c>
      <x:c r="M250" s="23" t="str">
        <x:v>1. Sign in as Release Tester. 2. Force failure during release/notification. 3. Save or submit. 4. Refresh or reopen the record. 5. Compare the result with the pass condition.</x:v>
      </x:c>
      <x:c r="N250" s="23" t="str">
        <x:v>Report status and downstream events remain consistent.</x:v>
      </x:c>
      <x:c r="O250" s="26" t="str">
        <x:v>Not Run</x:v>
      </x:c>
      <x:c r="P250" s="26" t="str"/>
      <x:c r="Q250" s="26" t="str"/>
      <x:c r="R250" s="26" t="str"/>
      <x:c r="S250" s="26" t="str"/>
      <x:c r="T250" s="26" t="str"/>
      <x:c r="U250" s="26" t="str">
        <x:v>QA</x:v>
      </x:c>
      <x:c r="V250" s="26" t="str"/>
      <x:c r="W250" s="29" t="str"/>
      <x:c r="X250" s="26" t="str"/>
      <x:c r="Y250" s="26" t="str">
        <x:v>Not Required</x:v>
      </x:c>
      <x:c r="Z250" s="26" t="str"/>
      <x:c r="AA250" s="28" t="n">
        <x:f>IF(OR(O250="Passed",O250="Failed",O250="Blocked"),1,0)</x:f>
        <x:v>0</x:v>
      </x:c>
      <x:c r="AB250" s="28" t="n">
        <x:f>IF(O250="Passed",1,0)</x:f>
        <x:v>0</x:v>
      </x:c>
      <x:c r="AC250" s="28" t="n">
        <x:f>IF(AND(OR(R250="Critical",R250="High"),OR(O250="Failed",O250="Blocked"),S250&lt;&gt;"Closed",S250&lt;&gt;"Rejected"),1,0)</x:f>
        <x:v>0</x:v>
      </x:c>
      <x:c r="AD250" s="28" t="n">
        <x:f>IF(X250&lt;&gt;"",1,0)</x:f>
        <x:v>0</x:v>
      </x:c>
      <x:c r="AE250" s="28" t="n">
        <x:f>IF(J250&lt;&gt;"",1,0)</x:f>
        <x:v>0</x:v>
      </x:c>
    </x:row>
    <x:row r="251">
      <x:c r="A251" s="23" t="str">
        <x:v>L3-042</x:v>
      </x:c>
      <x:c r="B251" s="23" t="str">
        <x:v>Level 3</x:v>
      </x:c>
      <x:c r="C251" s="23" t="str">
        <x:v>Reliability, Backup &amp; Recovery</x:v>
      </x:c>
      <x:c r="D251" s="23" t="str"/>
      <x:c r="E251" s="23" t="str">
        <x:v>Network interruption</x:v>
      </x:c>
      <x:c r="F251" s="23" t="str">
        <x:v>Recovery</x:v>
      </x:c>
      <x:c r="G251" s="23" t="str">
        <x:v>Release Tester</x:v>
      </x:c>
      <x:c r="H251" s="23" t="str">
        <x:v>Critical</x:v>
      </x:c>
      <x:c r="I251" s="23" t="str">
        <x:v>Yes</x:v>
      </x:c>
      <x:c r="J251" s="23" t="str"/>
      <x:c r="K251" s="23" t="str">
        <x:v>Required master data and user exist.</x:v>
      </x:c>
      <x:c r="L251" s="23" t="str">
        <x:v>Use dedicated non-production test data.</x:v>
      </x:c>
      <x:c r="M251" s="23" t="str">
        <x:v>1. Sign in as Release Tester. 2. Disconnect during save/payment/result entry. 3. Save or submit. 4. Refresh or reopen the record. 5. Compare the result with the pass condition.</x:v>
      </x:c>
      <x:c r="N251" s="23" t="str">
        <x:v>User sees a safe retry state with no duplicate transaction.</x:v>
      </x:c>
      <x:c r="O251" s="26" t="str">
        <x:v>Not Run</x:v>
      </x:c>
      <x:c r="P251" s="26" t="str"/>
      <x:c r="Q251" s="26" t="str"/>
      <x:c r="R251" s="26" t="str"/>
      <x:c r="S251" s="26" t="str"/>
      <x:c r="T251" s="26" t="str"/>
      <x:c r="U251" s="26" t="str">
        <x:v>QA</x:v>
      </x:c>
      <x:c r="V251" s="26" t="str"/>
      <x:c r="W251" s="29" t="str"/>
      <x:c r="X251" s="26" t="str"/>
      <x:c r="Y251" s="26" t="str">
        <x:v>Not Required</x:v>
      </x:c>
      <x:c r="Z251" s="26" t="str"/>
      <x:c r="AA251" s="28" t="n">
        <x:f>IF(OR(O251="Passed",O251="Failed",O251="Blocked"),1,0)</x:f>
        <x:v>0</x:v>
      </x:c>
      <x:c r="AB251" s="28" t="n">
        <x:f>IF(O251="Passed",1,0)</x:f>
        <x:v>0</x:v>
      </x:c>
      <x:c r="AC251" s="28" t="n">
        <x:f>IF(AND(OR(R251="Critical",R251="High"),OR(O251="Failed",O251="Blocked"),S251&lt;&gt;"Closed",S251&lt;&gt;"Rejected"),1,0)</x:f>
        <x:v>0</x:v>
      </x:c>
      <x:c r="AD251" s="28" t="n">
        <x:f>IF(X251&lt;&gt;"",1,0)</x:f>
        <x:v>0</x:v>
      </x:c>
      <x:c r="AE251" s="28" t="n">
        <x:f>IF(J251&lt;&gt;"",1,0)</x:f>
        <x:v>0</x:v>
      </x:c>
    </x:row>
    <x:row r="252">
      <x:c r="A252" s="23" t="str">
        <x:v>L3-043</x:v>
      </x:c>
      <x:c r="B252" s="23" t="str">
        <x:v>Level 3</x:v>
      </x:c>
      <x:c r="C252" s="23" t="str">
        <x:v>Reliability, Backup &amp; Recovery</x:v>
      </x:c>
      <x:c r="D252" s="23" t="str"/>
      <x:c r="E252" s="23" t="str">
        <x:v>Browser refresh during submit</x:v>
      </x:c>
      <x:c r="F252" s="23" t="str">
        <x:v>Recovery</x:v>
      </x:c>
      <x:c r="G252" s="23" t="str">
        <x:v>Release Tester</x:v>
      </x:c>
      <x:c r="H252" s="23" t="str">
        <x:v>Critical</x:v>
      </x:c>
      <x:c r="I252" s="23" t="str">
        <x:v>Yes</x:v>
      </x:c>
      <x:c r="J252" s="23" t="str"/>
      <x:c r="K252" s="23" t="str">
        <x:v>Required master data and user exist.</x:v>
      </x:c>
      <x:c r="L252" s="23" t="str">
        <x:v>Use dedicated non-production test data.</x:v>
      </x:c>
      <x:c r="M252" s="23" t="str">
        <x:v>1. Sign in as Release Tester. 2. Refresh during sensitive submissions. 3. Save or submit. 4. Refresh or reopen the record. 5. Compare the result with the pass condition.</x:v>
      </x:c>
      <x:c r="N252" s="23" t="str">
        <x:v>No duplicate or corrupt records are created.</x:v>
      </x:c>
      <x:c r="O252" s="26" t="str">
        <x:v>Not Run</x:v>
      </x:c>
      <x:c r="P252" s="26" t="str"/>
      <x:c r="Q252" s="26" t="str"/>
      <x:c r="R252" s="26" t="str"/>
      <x:c r="S252" s="26" t="str"/>
      <x:c r="T252" s="26" t="str"/>
      <x:c r="U252" s="26" t="str">
        <x:v>QA</x:v>
      </x:c>
      <x:c r="V252" s="26" t="str"/>
      <x:c r="W252" s="29" t="str"/>
      <x:c r="X252" s="26" t="str"/>
      <x:c r="Y252" s="26" t="str">
        <x:v>Not Required</x:v>
      </x:c>
      <x:c r="Z252" s="26" t="str"/>
      <x:c r="AA252" s="28" t="n">
        <x:f>IF(OR(O252="Passed",O252="Failed",O252="Blocked"),1,0)</x:f>
        <x:v>0</x:v>
      </x:c>
      <x:c r="AB252" s="28" t="n">
        <x:f>IF(O252="Passed",1,0)</x:f>
        <x:v>0</x:v>
      </x:c>
      <x:c r="AC252" s="28" t="n">
        <x:f>IF(AND(OR(R252="Critical",R252="High"),OR(O252="Failed",O252="Blocked"),S252&lt;&gt;"Closed",S252&lt;&gt;"Rejected"),1,0)</x:f>
        <x:v>0</x:v>
      </x:c>
      <x:c r="AD252" s="28" t="n">
        <x:f>IF(X252&lt;&gt;"",1,0)</x:f>
        <x:v>0</x:v>
      </x:c>
      <x:c r="AE252" s="28" t="n">
        <x:f>IF(J252&lt;&gt;"",1,0)</x:f>
        <x:v>0</x:v>
      </x:c>
    </x:row>
    <x:row r="253">
      <x:c r="A253" s="23" t="str">
        <x:v>L3-044</x:v>
      </x:c>
      <x:c r="B253" s="23" t="str">
        <x:v>Level 3</x:v>
      </x:c>
      <x:c r="C253" s="23" t="str">
        <x:v>Reliability, Backup &amp; Recovery</x:v>
      </x:c>
      <x:c r="D253" s="23" t="str"/>
      <x:c r="E253" s="23" t="str">
        <x:v>Database reconnect</x:v>
      </x:c>
      <x:c r="F253" s="23" t="str">
        <x:v>Recovery</x:v>
      </x:c>
      <x:c r="G253" s="23" t="str">
        <x:v>Release Tester</x:v>
      </x:c>
      <x:c r="H253" s="23" t="str">
        <x:v>Critical</x:v>
      </x:c>
      <x:c r="I253" s="23" t="str">
        <x:v>Yes</x:v>
      </x:c>
      <x:c r="J253" s="23" t="str"/>
      <x:c r="K253" s="23" t="str">
        <x:v>Required master data and user exist.</x:v>
      </x:c>
      <x:c r="L253" s="23" t="str">
        <x:v>Use dedicated non-production test data.</x:v>
      </x:c>
      <x:c r="M253" s="23" t="str">
        <x:v>1. Sign in as Release Tester. 2. Interrupt database connectivity in a controlled environment. 3. Save or submit. 4. Refresh or reopen the record. 5. Compare the result with the pass condition.</x:v>
      </x:c>
      <x:c r="N253" s="23" t="str">
        <x:v>System fails safely and recovers without cross-tenant impact.</x:v>
      </x:c>
      <x:c r="O253" s="26" t="str">
        <x:v>Not Run</x:v>
      </x:c>
      <x:c r="P253" s="26" t="str"/>
      <x:c r="Q253" s="26" t="str"/>
      <x:c r="R253" s="26" t="str"/>
      <x:c r="S253" s="26" t="str"/>
      <x:c r="T253" s="26" t="str"/>
      <x:c r="U253" s="26" t="str">
        <x:v>QA</x:v>
      </x:c>
      <x:c r="V253" s="26" t="str"/>
      <x:c r="W253" s="29" t="str"/>
      <x:c r="X253" s="26" t="str"/>
      <x:c r="Y253" s="26" t="str">
        <x:v>Not Required</x:v>
      </x:c>
      <x:c r="Z253" s="26" t="str"/>
      <x:c r="AA253" s="28" t="n">
        <x:f>IF(OR(O253="Passed",O253="Failed",O253="Blocked"),1,0)</x:f>
        <x:v>0</x:v>
      </x:c>
      <x:c r="AB253" s="28" t="n">
        <x:f>IF(O253="Passed",1,0)</x:f>
        <x:v>0</x:v>
      </x:c>
      <x:c r="AC253" s="28" t="n">
        <x:f>IF(AND(OR(R253="Critical",R253="High"),OR(O253="Failed",O253="Blocked"),S253&lt;&gt;"Closed",S253&lt;&gt;"Rejected"),1,0)</x:f>
        <x:v>0</x:v>
      </x:c>
      <x:c r="AD253" s="28" t="n">
        <x:f>IF(X253&lt;&gt;"",1,0)</x:f>
        <x:v>0</x:v>
      </x:c>
      <x:c r="AE253" s="28" t="n">
        <x:f>IF(J253&lt;&gt;"",1,0)</x:f>
        <x:v>0</x:v>
      </x:c>
    </x:row>
    <x:row r="254">
      <x:c r="A254" s="23" t="str">
        <x:v>L3-045</x:v>
      </x:c>
      <x:c r="B254" s="23" t="str">
        <x:v>Level 3</x:v>
      </x:c>
      <x:c r="C254" s="23" t="str">
        <x:v>Reliability, Backup &amp; Recovery</x:v>
      </x:c>
      <x:c r="D254" s="23" t="str"/>
      <x:c r="E254" s="23" t="str">
        <x:v>Backup creation</x:v>
      </x:c>
      <x:c r="F254" s="23" t="str">
        <x:v>Recovery</x:v>
      </x:c>
      <x:c r="G254" s="23" t="str">
        <x:v>Release Tester</x:v>
      </x:c>
      <x:c r="H254" s="23" t="str">
        <x:v>Critical</x:v>
      </x:c>
      <x:c r="I254" s="23" t="str">
        <x:v>Yes</x:v>
      </x:c>
      <x:c r="J254" s="23" t="str"/>
      <x:c r="K254" s="23" t="str">
        <x:v>Required master data and user exist.</x:v>
      </x:c>
      <x:c r="L254" s="23" t="str">
        <x:v>Use dedicated non-production test data.</x:v>
      </x:c>
      <x:c r="M254" s="23" t="str">
        <x:v>1. Sign in as Release Tester. 2. Run the production backup procedure. 3. Save or submit. 4. Refresh or reopen the record. 5. Compare the result with the pass condition.</x:v>
      </x:c>
      <x:c r="N254" s="23" t="str">
        <x:v>Backup completes, is encrypted and produces verifiable evidence.</x:v>
      </x:c>
      <x:c r="O254" s="26" t="str">
        <x:v>Not Run</x:v>
      </x:c>
      <x:c r="P254" s="26" t="str"/>
      <x:c r="Q254" s="26" t="str"/>
      <x:c r="R254" s="26" t="str"/>
      <x:c r="S254" s="26" t="str"/>
      <x:c r="T254" s="26" t="str"/>
      <x:c r="U254" s="26" t="str">
        <x:v>QA</x:v>
      </x:c>
      <x:c r="V254" s="26" t="str"/>
      <x:c r="W254" s="29" t="str"/>
      <x:c r="X254" s="26" t="str"/>
      <x:c r="Y254" s="26" t="str">
        <x:v>Not Required</x:v>
      </x:c>
      <x:c r="Z254" s="26" t="str"/>
      <x:c r="AA254" s="28" t="n">
        <x:f>IF(OR(O254="Passed",O254="Failed",O254="Blocked"),1,0)</x:f>
        <x:v>0</x:v>
      </x:c>
      <x:c r="AB254" s="28" t="n">
        <x:f>IF(O254="Passed",1,0)</x:f>
        <x:v>0</x:v>
      </x:c>
      <x:c r="AC254" s="28" t="n">
        <x:f>IF(AND(OR(R254="Critical",R254="High"),OR(O254="Failed",O254="Blocked"),S254&lt;&gt;"Closed",S254&lt;&gt;"Rejected"),1,0)</x:f>
        <x:v>0</x:v>
      </x:c>
      <x:c r="AD254" s="28" t="n">
        <x:f>IF(X254&lt;&gt;"",1,0)</x:f>
        <x:v>0</x:v>
      </x:c>
      <x:c r="AE254" s="28" t="n">
        <x:f>IF(J254&lt;&gt;"",1,0)</x:f>
        <x:v>0</x:v>
      </x:c>
    </x:row>
    <x:row r="255">
      <x:c r="A255" s="23" t="str">
        <x:v>L3-046</x:v>
      </x:c>
      <x:c r="B255" s="23" t="str">
        <x:v>Level 3</x:v>
      </x:c>
      <x:c r="C255" s="23" t="str">
        <x:v>Reliability, Backup &amp; Recovery</x:v>
      </x:c>
      <x:c r="D255" s="23" t="str"/>
      <x:c r="E255" s="23" t="str">
        <x:v>Restore drill</x:v>
      </x:c>
      <x:c r="F255" s="23" t="str">
        <x:v>Recovery</x:v>
      </x:c>
      <x:c r="G255" s="23" t="str">
        <x:v>Release Tester</x:v>
      </x:c>
      <x:c r="H255" s="23" t="str">
        <x:v>Critical</x:v>
      </x:c>
      <x:c r="I255" s="23" t="str">
        <x:v>Yes</x:v>
      </x:c>
      <x:c r="J255" s="23" t="str"/>
      <x:c r="K255" s="23" t="str">
        <x:v>Required master data and user exist.</x:v>
      </x:c>
      <x:c r="L255" s="23" t="str">
        <x:v>Use dedicated non-production test data.</x:v>
      </x:c>
      <x:c r="M255" s="23" t="str">
        <x:v>1. Sign in as Release Tester. 2. Restore backup into an isolated environment. 3. Save or submit. 4. Refresh or reopen the record. 5. Compare the result with the pass condition.</x:v>
      </x:c>
      <x:c r="N255" s="23" t="str">
        <x:v>Patients, bills, samples, reports, accounts and tenant links reconcile.</x:v>
      </x:c>
      <x:c r="O255" s="26" t="str">
        <x:v>Not Run</x:v>
      </x:c>
      <x:c r="P255" s="26" t="str"/>
      <x:c r="Q255" s="26" t="str"/>
      <x:c r="R255" s="26" t="str"/>
      <x:c r="S255" s="26" t="str"/>
      <x:c r="T255" s="26" t="str"/>
      <x:c r="U255" s="26" t="str">
        <x:v>QA</x:v>
      </x:c>
      <x:c r="V255" s="26" t="str"/>
      <x:c r="W255" s="29" t="str"/>
      <x:c r="X255" s="26" t="str"/>
      <x:c r="Y255" s="26" t="str">
        <x:v>Not Required</x:v>
      </x:c>
      <x:c r="Z255" s="26" t="str"/>
      <x:c r="AA255" s="28" t="n">
        <x:f>IF(OR(O255="Passed",O255="Failed",O255="Blocked"),1,0)</x:f>
        <x:v>0</x:v>
      </x:c>
      <x:c r="AB255" s="28" t="n">
        <x:f>IF(O255="Passed",1,0)</x:f>
        <x:v>0</x:v>
      </x:c>
      <x:c r="AC255" s="28" t="n">
        <x:f>IF(AND(OR(R255="Critical",R255="High"),OR(O255="Failed",O255="Blocked"),S255&lt;&gt;"Closed",S255&lt;&gt;"Rejected"),1,0)</x:f>
        <x:v>0</x:v>
      </x:c>
      <x:c r="AD255" s="28" t="n">
        <x:f>IF(X255&lt;&gt;"",1,0)</x:f>
        <x:v>0</x:v>
      </x:c>
      <x:c r="AE255" s="28" t="n">
        <x:f>IF(J255&lt;&gt;"",1,0)</x:f>
        <x:v>0</x:v>
      </x:c>
    </x:row>
    <x:row r="256">
      <x:c r="A256" s="23" t="str">
        <x:v>L3-047</x:v>
      </x:c>
      <x:c r="B256" s="23" t="str">
        <x:v>Level 3</x:v>
      </x:c>
      <x:c r="C256" s="23" t="str">
        <x:v>Reliability, Backup &amp; Recovery</x:v>
      </x:c>
      <x:c r="D256" s="23" t="str"/>
      <x:c r="E256" s="23" t="str">
        <x:v>Point-in-time recovery</x:v>
      </x:c>
      <x:c r="F256" s="23" t="str">
        <x:v>Recovery</x:v>
      </x:c>
      <x:c r="G256" s="23" t="str">
        <x:v>Release Tester</x:v>
      </x:c>
      <x:c r="H256" s="23" t="str">
        <x:v>Critical</x:v>
      </x:c>
      <x:c r="I256" s="23" t="str">
        <x:v>Yes</x:v>
      </x:c>
      <x:c r="J256" s="23" t="str"/>
      <x:c r="K256" s="23" t="str">
        <x:v>Required master data and user exist.</x:v>
      </x:c>
      <x:c r="L256" s="23" t="str">
        <x:v>Use dedicated non-production test data.</x:v>
      </x:c>
      <x:c r="M256" s="23" t="str">
        <x:v>1. Sign in as Release Tester. 2. Recover to an agreed point after test transactions. 3. Save or submit. 4. Refresh or reopen the record. 5. Compare the result with the pass condition.</x:v>
      </x:c>
      <x:c r="N256" s="23" t="str">
        <x:v>Recovery meets RPO and data integrity expectations.</x:v>
      </x:c>
      <x:c r="O256" s="26" t="str">
        <x:v>Not Run</x:v>
      </x:c>
      <x:c r="P256" s="26" t="str"/>
      <x:c r="Q256" s="26" t="str"/>
      <x:c r="R256" s="26" t="str"/>
      <x:c r="S256" s="26" t="str"/>
      <x:c r="T256" s="26" t="str"/>
      <x:c r="U256" s="26" t="str">
        <x:v>QA</x:v>
      </x:c>
      <x:c r="V256" s="26" t="str"/>
      <x:c r="W256" s="29" t="str"/>
      <x:c r="X256" s="26" t="str"/>
      <x:c r="Y256" s="26" t="str">
        <x:v>Not Required</x:v>
      </x:c>
      <x:c r="Z256" s="26" t="str"/>
      <x:c r="AA256" s="28" t="n">
        <x:f>IF(OR(O256="Passed",O256="Failed",O256="Blocked"),1,0)</x:f>
        <x:v>0</x:v>
      </x:c>
      <x:c r="AB256" s="28" t="n">
        <x:f>IF(O256="Passed",1,0)</x:f>
        <x:v>0</x:v>
      </x:c>
      <x:c r="AC256" s="28" t="n">
        <x:f>IF(AND(OR(R256="Critical",R256="High"),OR(O256="Failed",O256="Blocked"),S256&lt;&gt;"Closed",S256&lt;&gt;"Rejected"),1,0)</x:f>
        <x:v>0</x:v>
      </x:c>
      <x:c r="AD256" s="28" t="n">
        <x:f>IF(X256&lt;&gt;"",1,0)</x:f>
        <x:v>0</x:v>
      </x:c>
      <x:c r="AE256" s="28" t="n">
        <x:f>IF(J256&lt;&gt;"",1,0)</x:f>
        <x:v>0</x:v>
      </x:c>
    </x:row>
    <x:row r="257">
      <x:c r="A257" s="23" t="str">
        <x:v>L3-048</x:v>
      </x:c>
      <x:c r="B257" s="23" t="str">
        <x:v>Level 3</x:v>
      </x:c>
      <x:c r="C257" s="23" t="str">
        <x:v>Reliability, Backup &amp; Recovery</x:v>
      </x:c>
      <x:c r="D257" s="23" t="str"/>
      <x:c r="E257" s="23" t="str">
        <x:v>Disaster recovery</x:v>
      </x:c>
      <x:c r="F257" s="23" t="str">
        <x:v>Recovery</x:v>
      </x:c>
      <x:c r="G257" s="23" t="str">
        <x:v>Release Tester</x:v>
      </x:c>
      <x:c r="H257" s="23" t="str">
        <x:v>Critical</x:v>
      </x:c>
      <x:c r="I257" s="23" t="str">
        <x:v>Yes</x:v>
      </x:c>
      <x:c r="J257" s="23" t="str"/>
      <x:c r="K257" s="23" t="str">
        <x:v>Required master data and user exist.</x:v>
      </x:c>
      <x:c r="L257" s="23" t="str">
        <x:v>Use dedicated non-production test data.</x:v>
      </x:c>
      <x:c r="M257" s="23" t="str">
        <x:v>1. Sign in as Release Tester. 2. Execute the approved DR runbook. 3. Save or submit. 4. Refresh or reopen the record. 5. Compare the result with the pass condition.</x:v>
      </x:c>
      <x:c r="N257" s="23" t="str">
        <x:v>RTO/RPO, ownership and communications are proven.</x:v>
      </x:c>
      <x:c r="O257" s="26" t="str">
        <x:v>Not Run</x:v>
      </x:c>
      <x:c r="P257" s="26" t="str"/>
      <x:c r="Q257" s="26" t="str"/>
      <x:c r="R257" s="26" t="str"/>
      <x:c r="S257" s="26" t="str"/>
      <x:c r="T257" s="26" t="str"/>
      <x:c r="U257" s="26" t="str">
        <x:v>QA</x:v>
      </x:c>
      <x:c r="V257" s="26" t="str"/>
      <x:c r="W257" s="29" t="str"/>
      <x:c r="X257" s="26" t="str"/>
      <x:c r="Y257" s="26" t="str">
        <x:v>Not Required</x:v>
      </x:c>
      <x:c r="Z257" s="26" t="str"/>
      <x:c r="AA257" s="28" t="n">
        <x:f>IF(OR(O257="Passed",O257="Failed",O257="Blocked"),1,0)</x:f>
        <x:v>0</x:v>
      </x:c>
      <x:c r="AB257" s="28" t="n">
        <x:f>IF(O257="Passed",1,0)</x:f>
        <x:v>0</x:v>
      </x:c>
      <x:c r="AC257" s="28" t="n">
        <x:f>IF(AND(OR(R257="Critical",R257="High"),OR(O257="Failed",O257="Blocked"),S257&lt;&gt;"Closed",S257&lt;&gt;"Rejected"),1,0)</x:f>
        <x:v>0</x:v>
      </x:c>
      <x:c r="AD257" s="28" t="n">
        <x:f>IF(X257&lt;&gt;"",1,0)</x:f>
        <x:v>0</x:v>
      </x:c>
      <x:c r="AE257" s="28" t="n">
        <x:f>IF(J257&lt;&gt;"",1,0)</x:f>
        <x:v>0</x:v>
      </x:c>
    </x:row>
    <x:row r="258">
      <x:c r="A258" s="23" t="str">
        <x:v>L3-049</x:v>
      </x:c>
      <x:c r="B258" s="23" t="str">
        <x:v>Level 3</x:v>
      </x:c>
      <x:c r="C258" s="23" t="str">
        <x:v>Reliability, Backup &amp; Recovery</x:v>
      </x:c>
      <x:c r="D258" s="23" t="str"/>
      <x:c r="E258" s="23" t="str">
        <x:v>Job retry/idempotency</x:v>
      </x:c>
      <x:c r="F258" s="23" t="str">
        <x:v>Recovery</x:v>
      </x:c>
      <x:c r="G258" s="23" t="str">
        <x:v>Release Tester</x:v>
      </x:c>
      <x:c r="H258" s="23" t="str">
        <x:v>Critical</x:v>
      </x:c>
      <x:c r="I258" s="23" t="str">
        <x:v>Yes</x:v>
      </x:c>
      <x:c r="J258" s="23" t="str"/>
      <x:c r="K258" s="23" t="str">
        <x:v>Required master data and user exist.</x:v>
      </x:c>
      <x:c r="L258" s="23" t="str">
        <x:v>Use dedicated non-production test data.</x:v>
      </x:c>
      <x:c r="M258" s="23" t="str">
        <x:v>1. Sign in as Release Tester. 2. Retry email, notification and background operations. 3. Save or submit. 4. Refresh or reopen the record. 5. Compare the result with the pass condition.</x:v>
      </x:c>
      <x:c r="N258" s="23" t="str">
        <x:v>Retries are controlled and do not duplicate business records.</x:v>
      </x:c>
      <x:c r="O258" s="26" t="str">
        <x:v>Not Run</x:v>
      </x:c>
      <x:c r="P258" s="26" t="str"/>
      <x:c r="Q258" s="26" t="str"/>
      <x:c r="R258" s="26" t="str"/>
      <x:c r="S258" s="26" t="str"/>
      <x:c r="T258" s="26" t="str"/>
      <x:c r="U258" s="26" t="str">
        <x:v>QA</x:v>
      </x:c>
      <x:c r="V258" s="26" t="str"/>
      <x:c r="W258" s="29" t="str"/>
      <x:c r="X258" s="26" t="str"/>
      <x:c r="Y258" s="26" t="str">
        <x:v>Not Required</x:v>
      </x:c>
      <x:c r="Z258" s="26" t="str"/>
      <x:c r="AA258" s="28" t="n">
        <x:f>IF(OR(O258="Passed",O258="Failed",O258="Blocked"),1,0)</x:f>
        <x:v>0</x:v>
      </x:c>
      <x:c r="AB258" s="28" t="n">
        <x:f>IF(O258="Passed",1,0)</x:f>
        <x:v>0</x:v>
      </x:c>
      <x:c r="AC258" s="28" t="n">
        <x:f>IF(AND(OR(R258="Critical",R258="High"),OR(O258="Failed",O258="Blocked"),S258&lt;&gt;"Closed",S258&lt;&gt;"Rejected"),1,0)</x:f>
        <x:v>0</x:v>
      </x:c>
      <x:c r="AD258" s="28" t="n">
        <x:f>IF(X258&lt;&gt;"",1,0)</x:f>
        <x:v>0</x:v>
      </x:c>
      <x:c r="AE258" s="28" t="n">
        <x:f>IF(J258&lt;&gt;"",1,0)</x:f>
        <x:v>0</x:v>
      </x:c>
    </x:row>
    <x:row r="259">
      <x:c r="A259" s="23" t="str">
        <x:v>L3-050</x:v>
      </x:c>
      <x:c r="B259" s="23" t="str">
        <x:v>Level 3</x:v>
      </x:c>
      <x:c r="C259" s="23" t="str">
        <x:v>Reliability, Backup &amp; Recovery</x:v>
      </x:c>
      <x:c r="D259" s="23" t="str"/>
      <x:c r="E259" s="23" t="str">
        <x:v>Graceful maintenance</x:v>
      </x:c>
      <x:c r="F259" s="23" t="str">
        <x:v>Recovery</x:v>
      </x:c>
      <x:c r="G259" s="23" t="str">
        <x:v>Release Tester</x:v>
      </x:c>
      <x:c r="H259" s="23" t="str">
        <x:v>Critical</x:v>
      </x:c>
      <x:c r="I259" s="23" t="str">
        <x:v>Yes</x:v>
      </x:c>
      <x:c r="J259" s="23" t="str"/>
      <x:c r="K259" s="23" t="str">
        <x:v>Required master data and user exist.</x:v>
      </x:c>
      <x:c r="L259" s="23" t="str">
        <x:v>Use dedicated non-production test data.</x:v>
      </x:c>
      <x:c r="M259" s="23" t="str">
        <x:v>1. Sign in as Release Tester. 2. Enable maintenance/deploy while users are active. 3. Save or submit. 4. Refresh or reopen the record. 5. Compare the result with the pass condition.</x:v>
      </x:c>
      <x:c r="N259" s="23" t="str">
        <x:v>Users receive safe behavior and no data corruption occurs.</x:v>
      </x:c>
      <x:c r="O259" s="26" t="str">
        <x:v>Not Run</x:v>
      </x:c>
      <x:c r="P259" s="26" t="str"/>
      <x:c r="Q259" s="26" t="str"/>
      <x:c r="R259" s="26" t="str"/>
      <x:c r="S259" s="26" t="str"/>
      <x:c r="T259" s="26" t="str"/>
      <x:c r="U259" s="26" t="str">
        <x:v>QA</x:v>
      </x:c>
      <x:c r="V259" s="26" t="str"/>
      <x:c r="W259" s="29" t="str"/>
      <x:c r="X259" s="26" t="str"/>
      <x:c r="Y259" s="26" t="str">
        <x:v>Not Required</x:v>
      </x:c>
      <x:c r="Z259" s="26" t="str"/>
      <x:c r="AA259" s="28" t="n">
        <x:f>IF(OR(O259="Passed",O259="Failed",O259="Blocked"),1,0)</x:f>
        <x:v>0</x:v>
      </x:c>
      <x:c r="AB259" s="28" t="n">
        <x:f>IF(O259="Passed",1,0)</x:f>
        <x:v>0</x:v>
      </x:c>
      <x:c r="AC259" s="28" t="n">
        <x:f>IF(AND(OR(R259="Critical",R259="High"),OR(O259="Failed",O259="Blocked"),S259&lt;&gt;"Closed",S259&lt;&gt;"Rejected"),1,0)</x:f>
        <x:v>0</x:v>
      </x:c>
      <x:c r="AD259" s="28" t="n">
        <x:f>IF(X259&lt;&gt;"",1,0)</x:f>
        <x:v>0</x:v>
      </x:c>
      <x:c r="AE259" s="28" t="n">
        <x:f>IF(J259&lt;&gt;"",1,0)</x:f>
        <x:v>0</x:v>
      </x:c>
    </x:row>
    <x:row r="260">
      <x:c r="A260" s="23" t="str">
        <x:v>L3-051</x:v>
      </x:c>
      <x:c r="B260" s="23" t="str">
        <x:v>Level 3</x:v>
      </x:c>
      <x:c r="C260" s="23" t="str">
        <x:v>Compatibility &amp; Accessibility</x:v>
      </x:c>
      <x:c r="D260" s="23" t="str"/>
      <x:c r="E260" s="23" t="str">
        <x:v>Chrome current</x:v>
      </x:c>
      <x:c r="F260" s="23" t="str">
        <x:v>Compatibility</x:v>
      </x:c>
      <x:c r="G260" s="23" t="str">
        <x:v>Compatibility Tester</x:v>
      </x:c>
      <x:c r="H260" s="23" t="str">
        <x:v>High</x:v>
      </x:c>
      <x:c r="I260" s="23" t="str">
        <x:v>Yes</x:v>
      </x:c>
      <x:c r="J260" s="23" t="str"/>
      <x:c r="K260" s="23" t="str">
        <x:v>Required master data and user exist.</x:v>
      </x:c>
      <x:c r="L260" s="23" t="str">
        <x:v>Use dedicated non-production test data.</x:v>
      </x:c>
      <x:c r="M260" s="23" t="str">
        <x:v>1. Sign in as Compatibility Tester. 2. Run the full Level 1 flow on current Chrome. 3. Save or submit. 4. Refresh or reopen the record. 5. Compare the result with the pass condition.</x:v>
      </x:c>
      <x:c r="N260" s="23" t="str">
        <x:v>All screens and downloads work.</x:v>
      </x:c>
      <x:c r="O260" s="26" t="str">
        <x:v>Not Run</x:v>
      </x:c>
      <x:c r="P260" s="26" t="str"/>
      <x:c r="Q260" s="26" t="str"/>
      <x:c r="R260" s="26" t="str"/>
      <x:c r="S260" s="26" t="str"/>
      <x:c r="T260" s="26" t="str"/>
      <x:c r="U260" s="26" t="str">
        <x:v>QA</x:v>
      </x:c>
      <x:c r="V260" s="26" t="str"/>
      <x:c r="W260" s="29" t="str"/>
      <x:c r="X260" s="26" t="str"/>
      <x:c r="Y260" s="26" t="str">
        <x:v>Not Required</x:v>
      </x:c>
      <x:c r="Z260" s="26" t="str"/>
      <x:c r="AA260" s="28" t="n">
        <x:f>IF(OR(O260="Passed",O260="Failed",O260="Blocked"),1,0)</x:f>
        <x:v>0</x:v>
      </x:c>
      <x:c r="AB260" s="28" t="n">
        <x:f>IF(O260="Passed",1,0)</x:f>
        <x:v>0</x:v>
      </x:c>
      <x:c r="AC260" s="28" t="n">
        <x:f>IF(AND(OR(R260="Critical",R260="High"),OR(O260="Failed",O260="Blocked"),S260&lt;&gt;"Closed",S260&lt;&gt;"Rejected"),1,0)</x:f>
        <x:v>0</x:v>
      </x:c>
      <x:c r="AD260" s="28" t="n">
        <x:f>IF(X260&lt;&gt;"",1,0)</x:f>
        <x:v>0</x:v>
      </x:c>
      <x:c r="AE260" s="28" t="n">
        <x:f>IF(J260&lt;&gt;"",1,0)</x:f>
        <x:v>0</x:v>
      </x:c>
    </x:row>
    <x:row r="261">
      <x:c r="A261" s="23" t="str">
        <x:v>L3-052</x:v>
      </x:c>
      <x:c r="B261" s="23" t="str">
        <x:v>Level 3</x:v>
      </x:c>
      <x:c r="C261" s="23" t="str">
        <x:v>Compatibility &amp; Accessibility</x:v>
      </x:c>
      <x:c r="D261" s="23" t="str"/>
      <x:c r="E261" s="23" t="str">
        <x:v>Edge current</x:v>
      </x:c>
      <x:c r="F261" s="23" t="str">
        <x:v>Compatibility</x:v>
      </x:c>
      <x:c r="G261" s="23" t="str">
        <x:v>Compatibility Tester</x:v>
      </x:c>
      <x:c r="H261" s="23" t="str">
        <x:v>High</x:v>
      </x:c>
      <x:c r="I261" s="23" t="str">
        <x:v>Yes</x:v>
      </x:c>
      <x:c r="J261" s="23" t="str"/>
      <x:c r="K261" s="23" t="str">
        <x:v>Required master data and user exist.</x:v>
      </x:c>
      <x:c r="L261" s="23" t="str">
        <x:v>Use dedicated non-production test data.</x:v>
      </x:c>
      <x:c r="M261" s="23" t="str">
        <x:v>1. Sign in as Compatibility Tester. 2. Run the full Level 1 flow on current Edge. 3. Save or submit. 4. Refresh or reopen the record. 5. Compare the result with the pass condition.</x:v>
      </x:c>
      <x:c r="N261" s="23" t="str">
        <x:v>All screens and downloads work.</x:v>
      </x:c>
      <x:c r="O261" s="26" t="str">
        <x:v>Not Run</x:v>
      </x:c>
      <x:c r="P261" s="26" t="str"/>
      <x:c r="Q261" s="26" t="str"/>
      <x:c r="R261" s="26" t="str"/>
      <x:c r="S261" s="26" t="str"/>
      <x:c r="T261" s="26" t="str"/>
      <x:c r="U261" s="26" t="str">
        <x:v>QA</x:v>
      </x:c>
      <x:c r="V261" s="26" t="str"/>
      <x:c r="W261" s="29" t="str"/>
      <x:c r="X261" s="26" t="str"/>
      <x:c r="Y261" s="26" t="str">
        <x:v>Not Required</x:v>
      </x:c>
      <x:c r="Z261" s="26" t="str"/>
      <x:c r="AA261" s="28" t="n">
        <x:f>IF(OR(O261="Passed",O261="Failed",O261="Blocked"),1,0)</x:f>
        <x:v>0</x:v>
      </x:c>
      <x:c r="AB261" s="28" t="n">
        <x:f>IF(O261="Passed",1,0)</x:f>
        <x:v>0</x:v>
      </x:c>
      <x:c r="AC261" s="28" t="n">
        <x:f>IF(AND(OR(R261="Critical",R261="High"),OR(O261="Failed",O261="Blocked"),S261&lt;&gt;"Closed",S261&lt;&gt;"Rejected"),1,0)</x:f>
        <x:v>0</x:v>
      </x:c>
      <x:c r="AD261" s="28" t="n">
        <x:f>IF(X261&lt;&gt;"",1,0)</x:f>
        <x:v>0</x:v>
      </x:c>
      <x:c r="AE261" s="28" t="n">
        <x:f>IF(J261&lt;&gt;"",1,0)</x:f>
        <x:v>0</x:v>
      </x:c>
    </x:row>
    <x:row r="262">
      <x:c r="A262" s="23" t="str">
        <x:v>L3-053</x:v>
      </x:c>
      <x:c r="B262" s="23" t="str">
        <x:v>Level 3</x:v>
      </x:c>
      <x:c r="C262" s="23" t="str">
        <x:v>Compatibility &amp; Accessibility</x:v>
      </x:c>
      <x:c r="D262" s="23" t="str"/>
      <x:c r="E262" s="23" t="str">
        <x:v>Firefox current</x:v>
      </x:c>
      <x:c r="F262" s="23" t="str">
        <x:v>Compatibility</x:v>
      </x:c>
      <x:c r="G262" s="23" t="str">
        <x:v>Compatibility Tester</x:v>
      </x:c>
      <x:c r="H262" s="23" t="str">
        <x:v>High</x:v>
      </x:c>
      <x:c r="I262" s="23" t="str">
        <x:v>Yes</x:v>
      </x:c>
      <x:c r="J262" s="23" t="str"/>
      <x:c r="K262" s="23" t="str">
        <x:v>Required master data and user exist.</x:v>
      </x:c>
      <x:c r="L262" s="23" t="str">
        <x:v>Use dedicated non-production test data.</x:v>
      </x:c>
      <x:c r="M262" s="23" t="str">
        <x:v>1. Sign in as Compatibility Tester. 2. Run the full Level 1 flow on current Firefox. 3. Save or submit. 4. Refresh or reopen the record. 5. Compare the result with the pass condition.</x:v>
      </x:c>
      <x:c r="N262" s="23" t="str">
        <x:v>All screens and downloads work.</x:v>
      </x:c>
      <x:c r="O262" s="26" t="str">
        <x:v>Not Run</x:v>
      </x:c>
      <x:c r="P262" s="26" t="str"/>
      <x:c r="Q262" s="26" t="str"/>
      <x:c r="R262" s="26" t="str"/>
      <x:c r="S262" s="26" t="str"/>
      <x:c r="T262" s="26" t="str"/>
      <x:c r="U262" s="26" t="str">
        <x:v>QA</x:v>
      </x:c>
      <x:c r="V262" s="26" t="str"/>
      <x:c r="W262" s="29" t="str"/>
      <x:c r="X262" s="26" t="str"/>
      <x:c r="Y262" s="26" t="str">
        <x:v>Not Required</x:v>
      </x:c>
      <x:c r="Z262" s="26" t="str"/>
      <x:c r="AA262" s="28" t="n">
        <x:f>IF(OR(O262="Passed",O262="Failed",O262="Blocked"),1,0)</x:f>
        <x:v>0</x:v>
      </x:c>
      <x:c r="AB262" s="28" t="n">
        <x:f>IF(O262="Passed",1,0)</x:f>
        <x:v>0</x:v>
      </x:c>
      <x:c r="AC262" s="28" t="n">
        <x:f>IF(AND(OR(R262="Critical",R262="High"),OR(O262="Failed",O262="Blocked"),S262&lt;&gt;"Closed",S262&lt;&gt;"Rejected"),1,0)</x:f>
        <x:v>0</x:v>
      </x:c>
      <x:c r="AD262" s="28" t="n">
        <x:f>IF(X262&lt;&gt;"",1,0)</x:f>
        <x:v>0</x:v>
      </x:c>
      <x:c r="AE262" s="28" t="n">
        <x:f>IF(J262&lt;&gt;"",1,0)</x:f>
        <x:v>0</x:v>
      </x:c>
    </x:row>
    <x:row r="263">
      <x:c r="A263" s="23" t="str">
        <x:v>L3-054</x:v>
      </x:c>
      <x:c r="B263" s="23" t="str">
        <x:v>Level 3</x:v>
      </x:c>
      <x:c r="C263" s="23" t="str">
        <x:v>Compatibility &amp; Accessibility</x:v>
      </x:c>
      <x:c r="D263" s="23" t="str"/>
      <x:c r="E263" s="23" t="str">
        <x:v>Mobile patient portal</x:v>
      </x:c>
      <x:c r="F263" s="23" t="str">
        <x:v>Compatibility</x:v>
      </x:c>
      <x:c r="G263" s="23" t="str">
        <x:v>Compatibility Tester</x:v>
      </x:c>
      <x:c r="H263" s="23" t="str">
        <x:v>High</x:v>
      </x:c>
      <x:c r="I263" s="23" t="str">
        <x:v>Yes</x:v>
      </x:c>
      <x:c r="J263" s="23" t="str"/>
      <x:c r="K263" s="23" t="str">
        <x:v>Required master data and user exist.</x:v>
      </x:c>
      <x:c r="L263" s="23" t="str">
        <x:v>Use dedicated non-production test data.</x:v>
      </x:c>
      <x:c r="M263" s="23" t="str">
        <x:v>1. Sign in as Compatibility Tester. 2. Run activation, bills and reports at 390px width. 3. Save or submit. 4. Refresh or reopen the record. 5. Compare the result with the pass condition.</x:v>
      </x:c>
      <x:c r="N263" s="23" t="str">
        <x:v>No blocked controls, clipping or unsafe horizontal overflow.</x:v>
      </x:c>
      <x:c r="O263" s="26" t="str">
        <x:v>Not Run</x:v>
      </x:c>
      <x:c r="P263" s="26" t="str"/>
      <x:c r="Q263" s="26" t="str"/>
      <x:c r="R263" s="26" t="str"/>
      <x:c r="S263" s="26" t="str"/>
      <x:c r="T263" s="26" t="str"/>
      <x:c r="U263" s="26" t="str">
        <x:v>QA</x:v>
      </x:c>
      <x:c r="V263" s="26" t="str"/>
      <x:c r="W263" s="29" t="str"/>
      <x:c r="X263" s="26" t="str"/>
      <x:c r="Y263" s="26" t="str">
        <x:v>Not Required</x:v>
      </x:c>
      <x:c r="Z263" s="26" t="str"/>
      <x:c r="AA263" s="28" t="n">
        <x:f>IF(OR(O263="Passed",O263="Failed",O263="Blocked"),1,0)</x:f>
        <x:v>0</x:v>
      </x:c>
      <x:c r="AB263" s="28" t="n">
        <x:f>IF(O263="Passed",1,0)</x:f>
        <x:v>0</x:v>
      </x:c>
      <x:c r="AC263" s="28" t="n">
        <x:f>IF(AND(OR(R263="Critical",R263="High"),OR(O263="Failed",O263="Blocked"),S263&lt;&gt;"Closed",S263&lt;&gt;"Rejected"),1,0)</x:f>
        <x:v>0</x:v>
      </x:c>
      <x:c r="AD263" s="28" t="n">
        <x:f>IF(X263&lt;&gt;"",1,0)</x:f>
        <x:v>0</x:v>
      </x:c>
      <x:c r="AE263" s="28" t="n">
        <x:f>IF(J263&lt;&gt;"",1,0)</x:f>
        <x:v>0</x:v>
      </x:c>
    </x:row>
    <x:row r="264">
      <x:c r="A264" s="23" t="str">
        <x:v>L3-055</x:v>
      </x:c>
      <x:c r="B264" s="23" t="str">
        <x:v>Level 3</x:v>
      </x:c>
      <x:c r="C264" s="23" t="str">
        <x:v>Compatibility &amp; Accessibility</x:v>
      </x:c>
      <x:c r="D264" s="23" t="str"/>
      <x:c r="E264" s="23" t="str">
        <x:v>Tablet staff use</x:v>
      </x:c>
      <x:c r="F264" s="23" t="str">
        <x:v>Compatibility</x:v>
      </x:c>
      <x:c r="G264" s="23" t="str">
        <x:v>Compatibility Tester</x:v>
      </x:c>
      <x:c r="H264" s="23" t="str">
        <x:v>High</x:v>
      </x:c>
      <x:c r="I264" s="23" t="str">
        <x:v>Yes</x:v>
      </x:c>
      <x:c r="J264" s="23" t="str"/>
      <x:c r="K264" s="23" t="str">
        <x:v>Required master data and user exist.</x:v>
      </x:c>
      <x:c r="L264" s="23" t="str">
        <x:v>Use dedicated non-production test data.</x:v>
      </x:c>
      <x:c r="M264" s="23" t="str">
        <x:v>1. Sign in as Compatibility Tester. 2. Run reception/sample flow at 768px width. 3. Save or submit. 4. Refresh or reopen the record. 5. Compare the result with the pass condition.</x:v>
      </x:c>
      <x:c r="N264" s="23" t="str">
        <x:v>Primary actions and tables remain usable.</x:v>
      </x:c>
      <x:c r="O264" s="26" t="str">
        <x:v>Not Run</x:v>
      </x:c>
      <x:c r="P264" s="26" t="str"/>
      <x:c r="Q264" s="26" t="str"/>
      <x:c r="R264" s="26" t="str"/>
      <x:c r="S264" s="26" t="str"/>
      <x:c r="T264" s="26" t="str"/>
      <x:c r="U264" s="26" t="str">
        <x:v>QA</x:v>
      </x:c>
      <x:c r="V264" s="26" t="str"/>
      <x:c r="W264" s="29" t="str"/>
      <x:c r="X264" s="26" t="str"/>
      <x:c r="Y264" s="26" t="str">
        <x:v>Not Required</x:v>
      </x:c>
      <x:c r="Z264" s="26" t="str"/>
      <x:c r="AA264" s="28" t="n">
        <x:f>IF(OR(O264="Passed",O264="Failed",O264="Blocked"),1,0)</x:f>
        <x:v>0</x:v>
      </x:c>
      <x:c r="AB264" s="28" t="n">
        <x:f>IF(O264="Passed",1,0)</x:f>
        <x:v>0</x:v>
      </x:c>
      <x:c r="AC264" s="28" t="n">
        <x:f>IF(AND(OR(R264="Critical",R264="High"),OR(O264="Failed",O264="Blocked"),S264&lt;&gt;"Closed",S264&lt;&gt;"Rejected"),1,0)</x:f>
        <x:v>0</x:v>
      </x:c>
      <x:c r="AD264" s="28" t="n">
        <x:f>IF(X264&lt;&gt;"",1,0)</x:f>
        <x:v>0</x:v>
      </x:c>
      <x:c r="AE264" s="28" t="n">
        <x:f>IF(J264&lt;&gt;"",1,0)</x:f>
        <x:v>0</x:v>
      </x:c>
    </x:row>
    <x:row r="265">
      <x:c r="A265" s="23" t="str">
        <x:v>L3-056</x:v>
      </x:c>
      <x:c r="B265" s="23" t="str">
        <x:v>Level 3</x:v>
      </x:c>
      <x:c r="C265" s="23" t="str">
        <x:v>Compatibility &amp; Accessibility</x:v>
      </x:c>
      <x:c r="D265" s="23" t="str"/>
      <x:c r="E265" s="23" t="str">
        <x:v>Desktop resolutions</x:v>
      </x:c>
      <x:c r="F265" s="23" t="str">
        <x:v>Compatibility</x:v>
      </x:c>
      <x:c r="G265" s="23" t="str">
        <x:v>Compatibility Tester</x:v>
      </x:c>
      <x:c r="H265" s="23" t="str">
        <x:v>High</x:v>
      </x:c>
      <x:c r="I265" s="23" t="str">
        <x:v>Yes</x:v>
      </x:c>
      <x:c r="J265" s="23" t="str"/>
      <x:c r="K265" s="23" t="str">
        <x:v>Required master data and user exist.</x:v>
      </x:c>
      <x:c r="L265" s="23" t="str">
        <x:v>Use dedicated non-production test data.</x:v>
      </x:c>
      <x:c r="M265" s="23" t="str">
        <x:v>1. Sign in as Compatibility Tester. 2. Check 1366x768 and 1920x1080. 3. Save or submit. 4. Refresh or reopen the record. 5. Compare the result with the pass condition.</x:v>
      </x:c>
      <x:c r="N265" s="23" t="str">
        <x:v>Layout, dialogs and tables remain readable.</x:v>
      </x:c>
      <x:c r="O265" s="26" t="str">
        <x:v>Not Run</x:v>
      </x:c>
      <x:c r="P265" s="26" t="str"/>
      <x:c r="Q265" s="26" t="str"/>
      <x:c r="R265" s="26" t="str"/>
      <x:c r="S265" s="26" t="str"/>
      <x:c r="T265" s="26" t="str"/>
      <x:c r="U265" s="26" t="str">
        <x:v>QA</x:v>
      </x:c>
      <x:c r="V265" s="26" t="str"/>
      <x:c r="W265" s="29" t="str"/>
      <x:c r="X265" s="26" t="str"/>
      <x:c r="Y265" s="26" t="str">
        <x:v>Not Required</x:v>
      </x:c>
      <x:c r="Z265" s="26" t="str"/>
      <x:c r="AA265" s="28" t="n">
        <x:f>IF(OR(O265="Passed",O265="Failed",O265="Blocked"),1,0)</x:f>
        <x:v>0</x:v>
      </x:c>
      <x:c r="AB265" s="28" t="n">
        <x:f>IF(O265="Passed",1,0)</x:f>
        <x:v>0</x:v>
      </x:c>
      <x:c r="AC265" s="28" t="n">
        <x:f>IF(AND(OR(R265="Critical",R265="High"),OR(O265="Failed",O265="Blocked"),S265&lt;&gt;"Closed",S265&lt;&gt;"Rejected"),1,0)</x:f>
        <x:v>0</x:v>
      </x:c>
      <x:c r="AD265" s="28" t="n">
        <x:f>IF(X265&lt;&gt;"",1,0)</x:f>
        <x:v>0</x:v>
      </x:c>
      <x:c r="AE265" s="28" t="n">
        <x:f>IF(J265&lt;&gt;"",1,0)</x:f>
        <x:v>0</x:v>
      </x:c>
    </x:row>
    <x:row r="266">
      <x:c r="A266" s="23" t="str">
        <x:v>L3-057</x:v>
      </x:c>
      <x:c r="B266" s="23" t="str">
        <x:v>Level 3</x:v>
      </x:c>
      <x:c r="C266" s="23" t="str">
        <x:v>Compatibility &amp; Accessibility</x:v>
      </x:c>
      <x:c r="D266" s="23" t="str"/>
      <x:c r="E266" s="23" t="str">
        <x:v>Keyboard navigation</x:v>
      </x:c>
      <x:c r="F266" s="23" t="str">
        <x:v>Compatibility</x:v>
      </x:c>
      <x:c r="G266" s="23" t="str">
        <x:v>Compatibility Tester</x:v>
      </x:c>
      <x:c r="H266" s="23" t="str">
        <x:v>High</x:v>
      </x:c>
      <x:c r="I266" s="23" t="str">
        <x:v>Yes</x:v>
      </x:c>
      <x:c r="J266" s="23" t="str"/>
      <x:c r="K266" s="23" t="str">
        <x:v>Required master data and user exist.</x:v>
      </x:c>
      <x:c r="L266" s="23" t="str">
        <x:v>Use dedicated non-production test data.</x:v>
      </x:c>
      <x:c r="M266" s="23" t="str">
        <x:v>1. Sign in as Compatibility Tester. 2. Complete critical forms without a mouse. 3. Save or submit. 4. Refresh or reopen the record. 5. Compare the result with the pass condition.</x:v>
      </x:c>
      <x:c r="N266" s="23" t="str">
        <x:v>Focus order, controls and dialogs are usable.</x:v>
      </x:c>
      <x:c r="O266" s="26" t="str">
        <x:v>Not Run</x:v>
      </x:c>
      <x:c r="P266" s="26" t="str"/>
      <x:c r="Q266" s="26" t="str"/>
      <x:c r="R266" s="26" t="str"/>
      <x:c r="S266" s="26" t="str"/>
      <x:c r="T266" s="26" t="str"/>
      <x:c r="U266" s="26" t="str">
        <x:v>QA</x:v>
      </x:c>
      <x:c r="V266" s="26" t="str"/>
      <x:c r="W266" s="29" t="str"/>
      <x:c r="X266" s="26" t="str"/>
      <x:c r="Y266" s="26" t="str">
        <x:v>Not Required</x:v>
      </x:c>
      <x:c r="Z266" s="26" t="str"/>
      <x:c r="AA266" s="28" t="n">
        <x:f>IF(OR(O266="Passed",O266="Failed",O266="Blocked"),1,0)</x:f>
        <x:v>0</x:v>
      </x:c>
      <x:c r="AB266" s="28" t="n">
        <x:f>IF(O266="Passed",1,0)</x:f>
        <x:v>0</x:v>
      </x:c>
      <x:c r="AC266" s="28" t="n">
        <x:f>IF(AND(OR(R266="Critical",R266="High"),OR(O266="Failed",O266="Blocked"),S266&lt;&gt;"Closed",S266&lt;&gt;"Rejected"),1,0)</x:f>
        <x:v>0</x:v>
      </x:c>
      <x:c r="AD266" s="28" t="n">
        <x:f>IF(X266&lt;&gt;"",1,0)</x:f>
        <x:v>0</x:v>
      </x:c>
      <x:c r="AE266" s="28" t="n">
        <x:f>IF(J266&lt;&gt;"",1,0)</x:f>
        <x:v>0</x:v>
      </x:c>
    </x:row>
    <x:row r="267">
      <x:c r="A267" s="23" t="str">
        <x:v>L3-058</x:v>
      </x:c>
      <x:c r="B267" s="23" t="str">
        <x:v>Level 3</x:v>
      </x:c>
      <x:c r="C267" s="23" t="str">
        <x:v>Compatibility &amp; Accessibility</x:v>
      </x:c>
      <x:c r="D267" s="23" t="str"/>
      <x:c r="E267" s="23" t="str">
        <x:v>Screen reader labels</x:v>
      </x:c>
      <x:c r="F267" s="23" t="str">
        <x:v>Compatibility</x:v>
      </x:c>
      <x:c r="G267" s="23" t="str">
        <x:v>Compatibility Tester</x:v>
      </x:c>
      <x:c r="H267" s="23" t="str">
        <x:v>High</x:v>
      </x:c>
      <x:c r="I267" s="23" t="str">
        <x:v>Yes</x:v>
      </x:c>
      <x:c r="J267" s="23" t="str"/>
      <x:c r="K267" s="23" t="str">
        <x:v>Required master data and user exist.</x:v>
      </x:c>
      <x:c r="L267" s="23" t="str">
        <x:v>Use dedicated non-production test data.</x:v>
      </x:c>
      <x:c r="M267" s="23" t="str">
        <x:v>1. Sign in as Compatibility Tester. 2. Inspect login, patient, billing and portal forms. 3. Save or submit. 4. Refresh or reopen the record. 5. Compare the result with the pass condition.</x:v>
      </x:c>
      <x:c r="N267" s="23" t="str">
        <x:v>Controls and errors have meaningful accessible names.</x:v>
      </x:c>
      <x:c r="O267" s="26" t="str">
        <x:v>Not Run</x:v>
      </x:c>
      <x:c r="P267" s="26" t="str"/>
      <x:c r="Q267" s="26" t="str"/>
      <x:c r="R267" s="26" t="str"/>
      <x:c r="S267" s="26" t="str"/>
      <x:c r="T267" s="26" t="str"/>
      <x:c r="U267" s="26" t="str">
        <x:v>QA</x:v>
      </x:c>
      <x:c r="V267" s="26" t="str"/>
      <x:c r="W267" s="29" t="str"/>
      <x:c r="X267" s="26" t="str"/>
      <x:c r="Y267" s="26" t="str">
        <x:v>Not Required</x:v>
      </x:c>
      <x:c r="Z267" s="26" t="str"/>
      <x:c r="AA267" s="28" t="n">
        <x:f>IF(OR(O267="Passed",O267="Failed",O267="Blocked"),1,0)</x:f>
        <x:v>0</x:v>
      </x:c>
      <x:c r="AB267" s="28" t="n">
        <x:f>IF(O267="Passed",1,0)</x:f>
        <x:v>0</x:v>
      </x:c>
      <x:c r="AC267" s="28" t="n">
        <x:f>IF(AND(OR(R267="Critical",R267="High"),OR(O267="Failed",O267="Blocked"),S267&lt;&gt;"Closed",S267&lt;&gt;"Rejected"),1,0)</x:f>
        <x:v>0</x:v>
      </x:c>
      <x:c r="AD267" s="28" t="n">
        <x:f>IF(X267&lt;&gt;"",1,0)</x:f>
        <x:v>0</x:v>
      </x:c>
      <x:c r="AE267" s="28" t="n">
        <x:f>IF(J267&lt;&gt;"",1,0)</x:f>
        <x:v>0</x:v>
      </x:c>
    </x:row>
    <x:row r="268">
      <x:c r="A268" s="23" t="str">
        <x:v>L3-059</x:v>
      </x:c>
      <x:c r="B268" s="23" t="str">
        <x:v>Level 3</x:v>
      </x:c>
      <x:c r="C268" s="23" t="str">
        <x:v>Compatibility &amp; Accessibility</x:v>
      </x:c>
      <x:c r="D268" s="23" t="str"/>
      <x:c r="E268" s="23" t="str">
        <x:v>Color and contrast</x:v>
      </x:c>
      <x:c r="F268" s="23" t="str">
        <x:v>Compatibility</x:v>
      </x:c>
      <x:c r="G268" s="23" t="str">
        <x:v>Compatibility Tester</x:v>
      </x:c>
      <x:c r="H268" s="23" t="str">
        <x:v>High</x:v>
      </x:c>
      <x:c r="I268" s="23" t="str">
        <x:v>Yes</x:v>
      </x:c>
      <x:c r="J268" s="23" t="str"/>
      <x:c r="K268" s="23" t="str">
        <x:v>Required master data and user exist.</x:v>
      </x:c>
      <x:c r="L268" s="23" t="str">
        <x:v>Use dedicated non-production test data.</x:v>
      </x:c>
      <x:c r="M268" s="23" t="str">
        <x:v>1. Sign in as Compatibility Tester. 2. Review status, error, flag and dashboard colors. 3. Save or submit. 4. Refresh or reopen the record. 5. Compare the result with the pass condition.</x:v>
      </x:c>
      <x:c r="N268" s="23" t="str">
        <x:v>Meaning is not color-only and contrast meets policy.</x:v>
      </x:c>
      <x:c r="O268" s="26" t="str">
        <x:v>Not Run</x:v>
      </x:c>
      <x:c r="P268" s="26" t="str"/>
      <x:c r="Q268" s="26" t="str"/>
      <x:c r="R268" s="26" t="str"/>
      <x:c r="S268" s="26" t="str"/>
      <x:c r="T268" s="26" t="str"/>
      <x:c r="U268" s="26" t="str">
        <x:v>QA</x:v>
      </x:c>
      <x:c r="V268" s="26" t="str"/>
      <x:c r="W268" s="29" t="str"/>
      <x:c r="X268" s="26" t="str"/>
      <x:c r="Y268" s="26" t="str">
        <x:v>Not Required</x:v>
      </x:c>
      <x:c r="Z268" s="26" t="str"/>
      <x:c r="AA268" s="28" t="n">
        <x:f>IF(OR(O268="Passed",O268="Failed",O268="Blocked"),1,0)</x:f>
        <x:v>0</x:v>
      </x:c>
      <x:c r="AB268" s="28" t="n">
        <x:f>IF(O268="Passed",1,0)</x:f>
        <x:v>0</x:v>
      </x:c>
      <x:c r="AC268" s="28" t="n">
        <x:f>IF(AND(OR(R268="Critical",R268="High"),OR(O268="Failed",O268="Blocked"),S268&lt;&gt;"Closed",S268&lt;&gt;"Rejected"),1,0)</x:f>
        <x:v>0</x:v>
      </x:c>
      <x:c r="AD268" s="28" t="n">
        <x:f>IF(X268&lt;&gt;"",1,0)</x:f>
        <x:v>0</x:v>
      </x:c>
      <x:c r="AE268" s="28" t="n">
        <x:f>IF(J268&lt;&gt;"",1,0)</x:f>
        <x:v>0</x:v>
      </x:c>
    </x:row>
    <x:row r="269">
      <x:c r="A269" s="23" t="str">
        <x:v>L3-060</x:v>
      </x:c>
      <x:c r="B269" s="23" t="str">
        <x:v>Level 3</x:v>
      </x:c>
      <x:c r="C269" s="23" t="str">
        <x:v>Compatibility &amp; Accessibility</x:v>
      </x:c>
      <x:c r="D269" s="23" t="str"/>
      <x:c r="E269" s="23" t="str">
        <x:v>Zoom/text scaling</x:v>
      </x:c>
      <x:c r="F269" s="23" t="str">
        <x:v>Compatibility</x:v>
      </x:c>
      <x:c r="G269" s="23" t="str">
        <x:v>Compatibility Tester</x:v>
      </x:c>
      <x:c r="H269" s="23" t="str">
        <x:v>High</x:v>
      </x:c>
      <x:c r="I269" s="23" t="str">
        <x:v>Yes</x:v>
      </x:c>
      <x:c r="J269" s="23" t="str"/>
      <x:c r="K269" s="23" t="str">
        <x:v>Required master data and user exist.</x:v>
      </x:c>
      <x:c r="L269" s="23" t="str">
        <x:v>Use dedicated non-production test data.</x:v>
      </x:c>
      <x:c r="M269" s="23" t="str">
        <x:v>1. Sign in as Compatibility Tester. 2. Use 200% browser zoom. 3. Save or submit. 4. Refresh or reopen the record. 5. Compare the result with the pass condition.</x:v>
      </x:c>
      <x:c r="N269" s="23" t="str">
        <x:v>Critical workflows remain operable without hidden content.</x:v>
      </x:c>
      <x:c r="O269" s="26" t="str">
        <x:v>Not Run</x:v>
      </x:c>
      <x:c r="P269" s="26" t="str"/>
      <x:c r="Q269" s="26" t="str"/>
      <x:c r="R269" s="26" t="str"/>
      <x:c r="S269" s="26" t="str"/>
      <x:c r="T269" s="26" t="str"/>
      <x:c r="U269" s="26" t="str">
        <x:v>QA</x:v>
      </x:c>
      <x:c r="V269" s="26" t="str"/>
      <x:c r="W269" s="29" t="str"/>
      <x:c r="X269" s="26" t="str"/>
      <x:c r="Y269" s="26" t="str">
        <x:v>Not Required</x:v>
      </x:c>
      <x:c r="Z269" s="26" t="str"/>
      <x:c r="AA269" s="28" t="n">
        <x:f>IF(OR(O269="Passed",O269="Failed",O269="Blocked"),1,0)</x:f>
        <x:v>0</x:v>
      </x:c>
      <x:c r="AB269" s="28" t="n">
        <x:f>IF(O269="Passed",1,0)</x:f>
        <x:v>0</x:v>
      </x:c>
      <x:c r="AC269" s="28" t="n">
        <x:f>IF(AND(OR(R269="Critical",R269="High"),OR(O269="Failed",O269="Blocked"),S269&lt;&gt;"Closed",S269&lt;&gt;"Rejected"),1,0)</x:f>
        <x:v>0</x:v>
      </x:c>
      <x:c r="AD269" s="28" t="n">
        <x:f>IF(X269&lt;&gt;"",1,0)</x:f>
        <x:v>0</x:v>
      </x:c>
      <x:c r="AE269" s="28" t="n">
        <x:f>IF(J269&lt;&gt;"",1,0)</x:f>
        <x:v>0</x:v>
      </x:c>
    </x:row>
    <x:row r="270">
      <x:c r="A270" s="23" t="str">
        <x:v>L3-061</x:v>
      </x:c>
      <x:c r="B270" s="23" t="str">
        <x:v>Level 3</x:v>
      </x:c>
      <x:c r="C270" s="23" t="str">
        <x:v>Compatibility &amp; Accessibility</x:v>
      </x:c>
      <x:c r="D270" s="23" t="str"/>
      <x:c r="E270" s="23" t="str">
        <x:v>Print compatibility</x:v>
      </x:c>
      <x:c r="F270" s="23" t="str">
        <x:v>Compatibility</x:v>
      </x:c>
      <x:c r="G270" s="23" t="str">
        <x:v>Compatibility Tester</x:v>
      </x:c>
      <x:c r="H270" s="23" t="str">
        <x:v>High</x:v>
      </x:c>
      <x:c r="I270" s="23" t="str">
        <x:v>Yes</x:v>
      </x:c>
      <x:c r="J270" s="23" t="str"/>
      <x:c r="K270" s="23" t="str">
        <x:v>Required master data and user exist.</x:v>
      </x:c>
      <x:c r="L270" s="23" t="str">
        <x:v>Use dedicated non-production test data.</x:v>
      </x:c>
      <x:c r="M270" s="23" t="str">
        <x:v>1. Sign in as Compatibility Tester. 2. Print invoice, receipt, barcode and report from supported browsers. 3. Save or submit. 4. Refresh or reopen the record. 5. Compare the result with the pass condition.</x:v>
      </x:c>
      <x:c r="N270" s="23" t="str">
        <x:v>Content is complete, readable and not clipped.</x:v>
      </x:c>
      <x:c r="O270" s="26" t="str">
        <x:v>Not Run</x:v>
      </x:c>
      <x:c r="P270" s="26" t="str"/>
      <x:c r="Q270" s="26" t="str"/>
      <x:c r="R270" s="26" t="str"/>
      <x:c r="S270" s="26" t="str"/>
      <x:c r="T270" s="26" t="str"/>
      <x:c r="U270" s="26" t="str">
        <x:v>QA</x:v>
      </x:c>
      <x:c r="V270" s="26" t="str"/>
      <x:c r="W270" s="29" t="str"/>
      <x:c r="X270" s="26" t="str"/>
      <x:c r="Y270" s="26" t="str">
        <x:v>Not Required</x:v>
      </x:c>
      <x:c r="Z270" s="26" t="str"/>
      <x:c r="AA270" s="28" t="n">
        <x:f>IF(OR(O270="Passed",O270="Failed",O270="Blocked"),1,0)</x:f>
        <x:v>0</x:v>
      </x:c>
      <x:c r="AB270" s="28" t="n">
        <x:f>IF(O270="Passed",1,0)</x:f>
        <x:v>0</x:v>
      </x:c>
      <x:c r="AC270" s="28" t="n">
        <x:f>IF(AND(OR(R270="Critical",R270="High"),OR(O270="Failed",O270="Blocked"),S270&lt;&gt;"Closed",S270&lt;&gt;"Rejected"),1,0)</x:f>
        <x:v>0</x:v>
      </x:c>
      <x:c r="AD270" s="28" t="n">
        <x:f>IF(X270&lt;&gt;"",1,0)</x:f>
        <x:v>0</x:v>
      </x:c>
      <x:c r="AE270" s="28" t="n">
        <x:f>IF(J270&lt;&gt;"",1,0)</x:f>
        <x:v>0</x:v>
      </x:c>
    </x:row>
    <x:row r="271">
      <x:c r="A271" s="23" t="str">
        <x:v>L3-062</x:v>
      </x:c>
      <x:c r="B271" s="23" t="str">
        <x:v>Level 3</x:v>
      </x:c>
      <x:c r="C271" s="23" t="str">
        <x:v>Compatibility &amp; Accessibility</x:v>
      </x:c>
      <x:c r="D271" s="23" t="str"/>
      <x:c r="E271" s="23" t="str">
        <x:v>Locale/timezone</x:v>
      </x:c>
      <x:c r="F271" s="23" t="str">
        <x:v>Compatibility</x:v>
      </x:c>
      <x:c r="G271" s="23" t="str">
        <x:v>Compatibility Tester</x:v>
      </x:c>
      <x:c r="H271" s="23" t="str">
        <x:v>High</x:v>
      </x:c>
      <x:c r="I271" s="23" t="str">
        <x:v>Yes</x:v>
      </x:c>
      <x:c r="J271" s="23" t="str"/>
      <x:c r="K271" s="23" t="str">
        <x:v>Required master data and user exist.</x:v>
      </x:c>
      <x:c r="L271" s="23" t="str">
        <x:v>Use dedicated non-production test data.</x:v>
      </x:c>
      <x:c r="M271" s="23" t="str">
        <x:v>1. Sign in as Compatibility Tester. 2. Use supported locale/timezone variants. 3. Save or submit. 4. Refresh or reopen the record. 5. Compare the result with the pass condition.</x:v>
      </x:c>
      <x:c r="N271" s="23" t="str">
        <x:v>Dates, times and numbers remain accurate and unambiguous.</x:v>
      </x:c>
      <x:c r="O271" s="26" t="str">
        <x:v>Not Run</x:v>
      </x:c>
      <x:c r="P271" s="26" t="str"/>
      <x:c r="Q271" s="26" t="str"/>
      <x:c r="R271" s="26" t="str"/>
      <x:c r="S271" s="26" t="str"/>
      <x:c r="T271" s="26" t="str"/>
      <x:c r="U271" s="26" t="str">
        <x:v>QA</x:v>
      </x:c>
      <x:c r="V271" s="26" t="str"/>
      <x:c r="W271" s="29" t="str"/>
      <x:c r="X271" s="26" t="str"/>
      <x:c r="Y271" s="26" t="str">
        <x:v>Not Required</x:v>
      </x:c>
      <x:c r="Z271" s="26" t="str"/>
      <x:c r="AA271" s="28" t="n">
        <x:f>IF(OR(O271="Passed",O271="Failed",O271="Blocked"),1,0)</x:f>
        <x:v>0</x:v>
      </x:c>
      <x:c r="AB271" s="28" t="n">
        <x:f>IF(O271="Passed",1,0)</x:f>
        <x:v>0</x:v>
      </x:c>
      <x:c r="AC271" s="28" t="n">
        <x:f>IF(AND(OR(R271="Critical",R271="High"),OR(O271="Failed",O271="Blocked"),S271&lt;&gt;"Closed",S271&lt;&gt;"Rejected"),1,0)</x:f>
        <x:v>0</x:v>
      </x:c>
      <x:c r="AD271" s="28" t="n">
        <x:f>IF(X271&lt;&gt;"",1,0)</x:f>
        <x:v>0</x:v>
      </x:c>
      <x:c r="AE271" s="28" t="n">
        <x:f>IF(J271&lt;&gt;"",1,0)</x:f>
        <x:v>0</x:v>
      </x:c>
    </x:row>
    <x:row r="272">
      <x:c r="A272" s="23" t="str">
        <x:v>L3-063</x:v>
      </x:c>
      <x:c r="B272" s="23" t="str">
        <x:v>Level 3</x:v>
      </x:c>
      <x:c r="C272" s="23" t="str">
        <x:v>Clinical &amp; Financial Integrity</x:v>
      </x:c>
      <x:c r="D272" s="23" t="str"/>
      <x:c r="E272" s="23" t="str">
        <x:v>Patient identity chain</x:v>
      </x:c>
      <x:c r="F272" s="23" t="str">
        <x:v>Integrity</x:v>
      </x:c>
      <x:c r="G272" s="23" t="str">
        <x:v>Senior QA</x:v>
      </x:c>
      <x:c r="H272" s="23" t="str">
        <x:v>Critical</x:v>
      </x:c>
      <x:c r="I272" s="23" t="str">
        <x:v>Yes</x:v>
      </x:c>
      <x:c r="J272" s="23" t="str"/>
      <x:c r="K272" s="23" t="str">
        <x:v>Required master data and user exist.</x:v>
      </x:c>
      <x:c r="L272" s="23" t="str">
        <x:v>Use dedicated non-production test data.</x:v>
      </x:c>
      <x:c r="M272" s="23" t="str">
        <x:v>1. Sign in as Senior QA. 2. Trace patient ID from registration through report and portal. 3. Save or submit. 4. Refresh or reopen the record. 5. Compare the result with the pass condition.</x:v>
      </x:c>
      <x:c r="N272" s="23" t="str">
        <x:v>No identity mismatch occurs.</x:v>
      </x:c>
      <x:c r="O272" s="26" t="str">
        <x:v>Not Run</x:v>
      </x:c>
      <x:c r="P272" s="26" t="str"/>
      <x:c r="Q272" s="26" t="str"/>
      <x:c r="R272" s="26" t="str"/>
      <x:c r="S272" s="26" t="str"/>
      <x:c r="T272" s="26" t="str"/>
      <x:c r="U272" s="26" t="str">
        <x:v>QA</x:v>
      </x:c>
      <x:c r="V272" s="26" t="str"/>
      <x:c r="W272" s="29" t="str"/>
      <x:c r="X272" s="26" t="str"/>
      <x:c r="Y272" s="26" t="str">
        <x:v>Not Required</x:v>
      </x:c>
      <x:c r="Z272" s="26" t="str"/>
      <x:c r="AA272" s="28" t="n">
        <x:f>IF(OR(O272="Passed",O272="Failed",O272="Blocked"),1,0)</x:f>
        <x:v>0</x:v>
      </x:c>
      <x:c r="AB272" s="28" t="n">
        <x:f>IF(O272="Passed",1,0)</x:f>
        <x:v>0</x:v>
      </x:c>
      <x:c r="AC272" s="28" t="n">
        <x:f>IF(AND(OR(R272="Critical",R272="High"),OR(O272="Failed",O272="Blocked"),S272&lt;&gt;"Closed",S272&lt;&gt;"Rejected"),1,0)</x:f>
        <x:v>0</x:v>
      </x:c>
      <x:c r="AD272" s="28" t="n">
        <x:f>IF(X272&lt;&gt;"",1,0)</x:f>
        <x:v>0</x:v>
      </x:c>
      <x:c r="AE272" s="28" t="n">
        <x:f>IF(J272&lt;&gt;"",1,0)</x:f>
        <x:v>0</x:v>
      </x:c>
    </x:row>
    <x:row r="273">
      <x:c r="A273" s="23" t="str">
        <x:v>L3-064</x:v>
      </x:c>
      <x:c r="B273" s="23" t="str">
        <x:v>Level 3</x:v>
      </x:c>
      <x:c r="C273" s="23" t="str">
        <x:v>Clinical &amp; Financial Integrity</x:v>
      </x:c>
      <x:c r="D273" s="23" t="str"/>
      <x:c r="E273" s="23" t="str">
        <x:v>Order-sample-report chain</x:v>
      </x:c>
      <x:c r="F273" s="23" t="str">
        <x:v>Integrity</x:v>
      </x:c>
      <x:c r="G273" s="23" t="str">
        <x:v>Senior QA</x:v>
      </x:c>
      <x:c r="H273" s="23" t="str">
        <x:v>Critical</x:v>
      </x:c>
      <x:c r="I273" s="23" t="str">
        <x:v>Yes</x:v>
      </x:c>
      <x:c r="J273" s="23" t="str"/>
      <x:c r="K273" s="23" t="str">
        <x:v>Required master data and user exist.</x:v>
      </x:c>
      <x:c r="L273" s="23" t="str">
        <x:v>Use dedicated non-production test data.</x:v>
      </x:c>
      <x:c r="M273" s="23" t="str">
        <x:v>1. Sign in as Senior QA. 2. Trace each billed item through sample and report. 3. Save or submit. 4. Refresh or reopen the record. 5. Compare the result with the pass condition.</x:v>
      </x:c>
      <x:c r="N273" s="23" t="str">
        <x:v>Every item has correct one-to-one/many relationship and status.</x:v>
      </x:c>
      <x:c r="O273" s="26" t="str">
        <x:v>Not Run</x:v>
      </x:c>
      <x:c r="P273" s="26" t="str"/>
      <x:c r="Q273" s="26" t="str"/>
      <x:c r="R273" s="26" t="str"/>
      <x:c r="S273" s="26" t="str"/>
      <x:c r="T273" s="26" t="str"/>
      <x:c r="U273" s="26" t="str">
        <x:v>QA</x:v>
      </x:c>
      <x:c r="V273" s="26" t="str"/>
      <x:c r="W273" s="29" t="str"/>
      <x:c r="X273" s="26" t="str"/>
      <x:c r="Y273" s="26" t="str">
        <x:v>Not Required</x:v>
      </x:c>
      <x:c r="Z273" s="26" t="str"/>
      <x:c r="AA273" s="28" t="n">
        <x:f>IF(OR(O273="Passed",O273="Failed",O273="Blocked"),1,0)</x:f>
        <x:v>0</x:v>
      </x:c>
      <x:c r="AB273" s="28" t="n">
        <x:f>IF(O273="Passed",1,0)</x:f>
        <x:v>0</x:v>
      </x:c>
      <x:c r="AC273" s="28" t="n">
        <x:f>IF(AND(OR(R273="Critical",R273="High"),OR(O273="Failed",O273="Blocked"),S273&lt;&gt;"Closed",S273&lt;&gt;"Rejected"),1,0)</x:f>
        <x:v>0</x:v>
      </x:c>
      <x:c r="AD273" s="28" t="n">
        <x:f>IF(X273&lt;&gt;"",1,0)</x:f>
        <x:v>0</x:v>
      </x:c>
      <x:c r="AE273" s="28" t="n">
        <x:f>IF(J273&lt;&gt;"",1,0)</x:f>
        <x:v>0</x:v>
      </x:c>
    </x:row>
    <x:row r="274">
      <x:c r="A274" s="23" t="str">
        <x:v>L3-065</x:v>
      </x:c>
      <x:c r="B274" s="23" t="str">
        <x:v>Level 3</x:v>
      </x:c>
      <x:c r="C274" s="23" t="str">
        <x:v>Clinical &amp; Financial Integrity</x:v>
      </x:c>
      <x:c r="D274" s="23" t="str"/>
      <x:c r="E274" s="23" t="str">
        <x:v>Reference range certification</x:v>
      </x:c>
      <x:c r="F274" s="23" t="str">
        <x:v>Integrity</x:v>
      </x:c>
      <x:c r="G274" s="23" t="str">
        <x:v>Senior QA</x:v>
      </x:c>
      <x:c r="H274" s="23" t="str">
        <x:v>Critical</x:v>
      </x:c>
      <x:c r="I274" s="23" t="str">
        <x:v>Yes</x:v>
      </x:c>
      <x:c r="J274" s="23" t="str"/>
      <x:c r="K274" s="23" t="str">
        <x:v>Required master data and user exist.</x:v>
      </x:c>
      <x:c r="L274" s="23" t="str">
        <x:v>Use dedicated non-production test data.</x:v>
      </x:c>
      <x:c r="M274" s="23" t="str">
        <x:v>1. Sign in as Senior QA. 2. Verify representative sex/age/boundary results. 3. Save or submit. 4. Refresh or reopen the record. 5. Compare the result with the pass condition.</x:v>
      </x:c>
      <x:c r="N274" s="23" t="str">
        <x:v>Displayed ranges and flags match the signed-off master.</x:v>
      </x:c>
      <x:c r="O274" s="26" t="str">
        <x:v>Not Run</x:v>
      </x:c>
      <x:c r="P274" s="26" t="str"/>
      <x:c r="Q274" s="26" t="str"/>
      <x:c r="R274" s="26" t="str"/>
      <x:c r="S274" s="26" t="str"/>
      <x:c r="T274" s="26" t="str"/>
      <x:c r="U274" s="26" t="str">
        <x:v>QA</x:v>
      </x:c>
      <x:c r="V274" s="26" t="str"/>
      <x:c r="W274" s="29" t="str"/>
      <x:c r="X274" s="26" t="str"/>
      <x:c r="Y274" s="26" t="str">
        <x:v>Not Required</x:v>
      </x:c>
      <x:c r="Z274" s="26" t="str"/>
      <x:c r="AA274" s="28" t="n">
        <x:f>IF(OR(O274="Passed",O274="Failed",O274="Blocked"),1,0)</x:f>
        <x:v>0</x:v>
      </x:c>
      <x:c r="AB274" s="28" t="n">
        <x:f>IF(O274="Passed",1,0)</x:f>
        <x:v>0</x:v>
      </x:c>
      <x:c r="AC274" s="28" t="n">
        <x:f>IF(AND(OR(R274="Critical",R274="High"),OR(O274="Failed",O274="Blocked"),S274&lt;&gt;"Closed",S274&lt;&gt;"Rejected"),1,0)</x:f>
        <x:v>0</x:v>
      </x:c>
      <x:c r="AD274" s="28" t="n">
        <x:f>IF(X274&lt;&gt;"",1,0)</x:f>
        <x:v>0</x:v>
      </x:c>
      <x:c r="AE274" s="28" t="n">
        <x:f>IF(J274&lt;&gt;"",1,0)</x:f>
        <x:v>0</x:v>
      </x:c>
    </x:row>
    <x:row r="275">
      <x:c r="A275" s="23" t="str">
        <x:v>L3-066</x:v>
      </x:c>
      <x:c r="B275" s="23" t="str">
        <x:v>Level 3</x:v>
      </x:c>
      <x:c r="C275" s="23" t="str">
        <x:v>Clinical &amp; Financial Integrity</x:v>
      </x:c>
      <x:c r="D275" s="23" t="str"/>
      <x:c r="E275" s="23" t="str">
        <x:v>Report release segregation</x:v>
      </x:c>
      <x:c r="F275" s="23" t="str">
        <x:v>Integrity</x:v>
      </x:c>
      <x:c r="G275" s="23" t="str">
        <x:v>Senior QA</x:v>
      </x:c>
      <x:c r="H275" s="23" t="str">
        <x:v>Critical</x:v>
      </x:c>
      <x:c r="I275" s="23" t="str">
        <x:v>Yes</x:v>
      </x:c>
      <x:c r="J275" s="23" t="str"/>
      <x:c r="K275" s="23" t="str">
        <x:v>Required master data and user exist.</x:v>
      </x:c>
      <x:c r="L275" s="23" t="str">
        <x:v>Use dedicated non-production test data.</x:v>
      </x:c>
      <x:c r="M275" s="23" t="str">
        <x:v>1. Sign in as Senior QA. 2. Attempt entry, approval and release with all roles. 3. Save or submit. 4. Refresh or reopen the record. 5. Compare the result with the pass condition.</x:v>
      </x:c>
      <x:c r="N275" s="23" t="str">
        <x:v>Signed-off segregation is enforced.</x:v>
      </x:c>
      <x:c r="O275" s="26" t="str">
        <x:v>Not Run</x:v>
      </x:c>
      <x:c r="P275" s="26" t="str"/>
      <x:c r="Q275" s="26" t="str"/>
      <x:c r="R275" s="26" t="str"/>
      <x:c r="S275" s="26" t="str"/>
      <x:c r="T275" s="26" t="str"/>
      <x:c r="U275" s="26" t="str">
        <x:v>QA</x:v>
      </x:c>
      <x:c r="V275" s="26" t="str"/>
      <x:c r="W275" s="29" t="str"/>
      <x:c r="X275" s="26" t="str"/>
      <x:c r="Y275" s="26" t="str">
        <x:v>Not Required</x:v>
      </x:c>
      <x:c r="Z275" s="26" t="str"/>
      <x:c r="AA275" s="28" t="n">
        <x:f>IF(OR(O275="Passed",O275="Failed",O275="Blocked"),1,0)</x:f>
        <x:v>0</x:v>
      </x:c>
      <x:c r="AB275" s="28" t="n">
        <x:f>IF(O275="Passed",1,0)</x:f>
        <x:v>0</x:v>
      </x:c>
      <x:c r="AC275" s="28" t="n">
        <x:f>IF(AND(OR(R275="Critical",R275="High"),OR(O275="Failed",O275="Blocked"),S275&lt;&gt;"Closed",S275&lt;&gt;"Rejected"),1,0)</x:f>
        <x:v>0</x:v>
      </x:c>
      <x:c r="AD275" s="28" t="n">
        <x:f>IF(X275&lt;&gt;"",1,0)</x:f>
        <x:v>0</x:v>
      </x:c>
      <x:c r="AE275" s="28" t="n">
        <x:f>IF(J275&lt;&gt;"",1,0)</x:f>
        <x:v>0</x:v>
      </x:c>
    </x:row>
    <x:row r="276">
      <x:c r="A276" s="23" t="str">
        <x:v>L3-067</x:v>
      </x:c>
      <x:c r="B276" s="23" t="str">
        <x:v>Level 3</x:v>
      </x:c>
      <x:c r="C276" s="23" t="str">
        <x:v>Clinical &amp; Financial Integrity</x:v>
      </x:c>
      <x:c r="D276" s="23" t="str"/>
      <x:c r="E276" s="23" t="str">
        <x:v>Critical-result handling</x:v>
      </x:c>
      <x:c r="F276" s="23" t="str">
        <x:v>Integrity</x:v>
      </x:c>
      <x:c r="G276" s="23" t="str">
        <x:v>Senior QA</x:v>
      </x:c>
      <x:c r="H276" s="23" t="str">
        <x:v>Critical</x:v>
      </x:c>
      <x:c r="I276" s="23" t="str">
        <x:v>Yes</x:v>
      </x:c>
      <x:c r="J276" s="23" t="str"/>
      <x:c r="K276" s="23" t="str">
        <x:v>Required master data and user exist.</x:v>
      </x:c>
      <x:c r="L276" s="23" t="str">
        <x:v>Use dedicated non-production test data.</x:v>
      </x:c>
      <x:c r="M276" s="23" t="str">
        <x:v>1. Sign in as Senior QA. 2. Trigger critical results end to end. 3. Save or submit. 4. Refresh or reopen the record. 5. Compare the result with the pass condition.</x:v>
      </x:c>
      <x:c r="N276" s="23" t="str">
        <x:v>Notification/acknowledgement policy is proven or release is blocked.</x:v>
      </x:c>
      <x:c r="O276" s="26" t="str">
        <x:v>Not Run</x:v>
      </x:c>
      <x:c r="P276" s="26" t="str"/>
      <x:c r="Q276" s="26" t="str"/>
      <x:c r="R276" s="26" t="str"/>
      <x:c r="S276" s="26" t="str"/>
      <x:c r="T276" s="26" t="str"/>
      <x:c r="U276" s="26" t="str">
        <x:v>QA</x:v>
      </x:c>
      <x:c r="V276" s="26" t="str"/>
      <x:c r="W276" s="29" t="str"/>
      <x:c r="X276" s="26" t="str"/>
      <x:c r="Y276" s="26" t="str">
        <x:v>Not Required</x:v>
      </x:c>
      <x:c r="Z276" s="26" t="str"/>
      <x:c r="AA276" s="28" t="n">
        <x:f>IF(OR(O276="Passed",O276="Failed",O276="Blocked"),1,0)</x:f>
        <x:v>0</x:v>
      </x:c>
      <x:c r="AB276" s="28" t="n">
        <x:f>IF(O276="Passed",1,0)</x:f>
        <x:v>0</x:v>
      </x:c>
      <x:c r="AC276" s="28" t="n">
        <x:f>IF(AND(OR(R276="Critical",R276="High"),OR(O276="Failed",O276="Blocked"),S276&lt;&gt;"Closed",S276&lt;&gt;"Rejected"),1,0)</x:f>
        <x:v>0</x:v>
      </x:c>
      <x:c r="AD276" s="28" t="n">
        <x:f>IF(X276&lt;&gt;"",1,0)</x:f>
        <x:v>0</x:v>
      </x:c>
      <x:c r="AE276" s="28" t="n">
        <x:f>IF(J276&lt;&gt;"",1,0)</x:f>
        <x:v>0</x:v>
      </x:c>
    </x:row>
    <x:row r="277">
      <x:c r="A277" s="23" t="str">
        <x:v>L3-068</x:v>
      </x:c>
      <x:c r="B277" s="23" t="str">
        <x:v>Level 3</x:v>
      </x:c>
      <x:c r="C277" s="23" t="str">
        <x:v>Clinical &amp; Financial Integrity</x:v>
      </x:c>
      <x:c r="D277" s="23" t="str"/>
      <x:c r="E277" s="23" t="str">
        <x:v>Bill-to-ledger reconciliation</x:v>
      </x:c>
      <x:c r="F277" s="23" t="str">
        <x:v>Integrity</x:v>
      </x:c>
      <x:c r="G277" s="23" t="str">
        <x:v>Senior QA</x:v>
      </x:c>
      <x:c r="H277" s="23" t="str">
        <x:v>Critical</x:v>
      </x:c>
      <x:c r="I277" s="23" t="str">
        <x:v>Yes</x:v>
      </x:c>
      <x:c r="J277" s="23" t="str"/>
      <x:c r="K277" s="23" t="str">
        <x:v>Required master data and user exist.</x:v>
      </x:c>
      <x:c r="L277" s="23" t="str">
        <x:v>Use dedicated non-production test data.</x:v>
      </x:c>
      <x:c r="M277" s="23" t="str">
        <x:v>1. Sign in as Senior QA. 2. Reconcile all UAT bills/payments/refunds. 3. Save or submit. 4. Refresh or reopen the record. 5. Compare the result with the pass condition.</x:v>
      </x:c>
      <x:c r="N277" s="23" t="str">
        <x:v>Invoice, receipt, journal, ledger and P&amp;L totals agree.</x:v>
      </x:c>
      <x:c r="O277" s="26" t="str">
        <x:v>Not Run</x:v>
      </x:c>
      <x:c r="P277" s="26" t="str"/>
      <x:c r="Q277" s="26" t="str"/>
      <x:c r="R277" s="26" t="str"/>
      <x:c r="S277" s="26" t="str"/>
      <x:c r="T277" s="26" t="str"/>
      <x:c r="U277" s="26" t="str">
        <x:v>QA</x:v>
      </x:c>
      <x:c r="V277" s="26" t="str"/>
      <x:c r="W277" s="29" t="str"/>
      <x:c r="X277" s="26" t="str"/>
      <x:c r="Y277" s="26" t="str">
        <x:v>Not Required</x:v>
      </x:c>
      <x:c r="Z277" s="26" t="str"/>
      <x:c r="AA277" s="28" t="n">
        <x:f>IF(OR(O277="Passed",O277="Failed",O277="Blocked"),1,0)</x:f>
        <x:v>0</x:v>
      </x:c>
      <x:c r="AB277" s="28" t="n">
        <x:f>IF(O277="Passed",1,0)</x:f>
        <x:v>0</x:v>
      </x:c>
      <x:c r="AC277" s="28" t="n">
        <x:f>IF(AND(OR(R277="Critical",R277="High"),OR(O277="Failed",O277="Blocked"),S277&lt;&gt;"Closed",S277&lt;&gt;"Rejected"),1,0)</x:f>
        <x:v>0</x:v>
      </x:c>
      <x:c r="AD277" s="28" t="n">
        <x:f>IF(X277&lt;&gt;"",1,0)</x:f>
        <x:v>0</x:v>
      </x:c>
      <x:c r="AE277" s="28" t="n">
        <x:f>IF(J277&lt;&gt;"",1,0)</x:f>
        <x:v>0</x:v>
      </x:c>
    </x:row>
    <x:row r="278">
      <x:c r="A278" s="23" t="str">
        <x:v>L3-069</x:v>
      </x:c>
      <x:c r="B278" s="23" t="str">
        <x:v>Level 3</x:v>
      </x:c>
      <x:c r="C278" s="23" t="str">
        <x:v>Clinical &amp; Financial Integrity</x:v>
      </x:c>
      <x:c r="D278" s="23" t="str"/>
      <x:c r="E278" s="23" t="str">
        <x:v>Commission reconciliation</x:v>
      </x:c>
      <x:c r="F278" s="23" t="str">
        <x:v>Integrity</x:v>
      </x:c>
      <x:c r="G278" s="23" t="str">
        <x:v>Senior QA</x:v>
      </x:c>
      <x:c r="H278" s="23" t="str">
        <x:v>Critical</x:v>
      </x:c>
      <x:c r="I278" s="23" t="str">
        <x:v>Yes</x:v>
      </x:c>
      <x:c r="J278" s="23" t="str"/>
      <x:c r="K278" s="23" t="str">
        <x:v>Required master data and user exist.</x:v>
      </x:c>
      <x:c r="L278" s="23" t="str">
        <x:v>Use dedicated non-production test data.</x:v>
      </x:c>
      <x:c r="M278" s="23" t="str">
        <x:v>1. Sign in as Senior QA. 2. Reconcile regular/investor referral commissions and payouts. 3. Save or submit. 4. Refresh or reopen the record. 5. Compare the result with the pass condition.</x:v>
      </x:c>
      <x:c r="N278" s="23" t="str">
        <x:v>Historical rate, eligibility and payout references agree.</x:v>
      </x:c>
      <x:c r="O278" s="26" t="str">
        <x:v>Not Run</x:v>
      </x:c>
      <x:c r="P278" s="26" t="str"/>
      <x:c r="Q278" s="26" t="str"/>
      <x:c r="R278" s="26" t="str"/>
      <x:c r="S278" s="26" t="str"/>
      <x:c r="T278" s="26" t="str"/>
      <x:c r="U278" s="26" t="str">
        <x:v>QA</x:v>
      </x:c>
      <x:c r="V278" s="26" t="str"/>
      <x:c r="W278" s="29" t="str"/>
      <x:c r="X278" s="26" t="str"/>
      <x:c r="Y278" s="26" t="str">
        <x:v>Not Required</x:v>
      </x:c>
      <x:c r="Z278" s="26" t="str"/>
      <x:c r="AA278" s="28" t="n">
        <x:f>IF(OR(O278="Passed",O278="Failed",O278="Blocked"),1,0)</x:f>
        <x:v>0</x:v>
      </x:c>
      <x:c r="AB278" s="28" t="n">
        <x:f>IF(O278="Passed",1,0)</x:f>
        <x:v>0</x:v>
      </x:c>
      <x:c r="AC278" s="28" t="n">
        <x:f>IF(AND(OR(R278="Critical",R278="High"),OR(O278="Failed",O278="Blocked"),S278&lt;&gt;"Closed",S278&lt;&gt;"Rejected"),1,0)</x:f>
        <x:v>0</x:v>
      </x:c>
      <x:c r="AD278" s="28" t="n">
        <x:f>IF(X278&lt;&gt;"",1,0)</x:f>
        <x:v>0</x:v>
      </x:c>
      <x:c r="AE278" s="28" t="n">
        <x:f>IF(J278&lt;&gt;"",1,0)</x:f>
        <x:v>0</x:v>
      </x:c>
    </x:row>
    <x:row r="279">
      <x:c r="A279" s="23" t="str">
        <x:v>L3-070</x:v>
      </x:c>
      <x:c r="B279" s="23" t="str">
        <x:v>Level 3</x:v>
      </x:c>
      <x:c r="C279" s="23" t="str">
        <x:v>Clinical &amp; Financial Integrity</x:v>
      </x:c>
      <x:c r="D279" s="23" t="str"/>
      <x:c r="E279" s="23" t="str">
        <x:v>Corporate reconciliation</x:v>
      </x:c>
      <x:c r="F279" s="23" t="str">
        <x:v>Integrity</x:v>
      </x:c>
      <x:c r="G279" s="23" t="str">
        <x:v>Senior QA</x:v>
      </x:c>
      <x:c r="H279" s="23" t="str">
        <x:v>Critical</x:v>
      </x:c>
      <x:c r="I279" s="23" t="str">
        <x:v>Yes</x:v>
      </x:c>
      <x:c r="J279" s="23" t="str"/>
      <x:c r="K279" s="23" t="str">
        <x:v>Required master data and user exist.</x:v>
      </x:c>
      <x:c r="L279" s="23" t="str">
        <x:v>Use dedicated non-production test data.</x:v>
      </x:c>
      <x:c r="M279" s="23" t="str">
        <x:v>1. Sign in as Senior QA. 2. Reconcile credit bills, payments, statements and aging. 3. Save or submit. 4. Refresh or reopen the record. 5. Compare the result with the pass condition.</x:v>
      </x:c>
      <x:c r="N279" s="23" t="str">
        <x:v>Opening, movement and closing balances agree.</x:v>
      </x:c>
      <x:c r="O279" s="26" t="str">
        <x:v>Not Run</x:v>
      </x:c>
      <x:c r="P279" s="26" t="str"/>
      <x:c r="Q279" s="26" t="str"/>
      <x:c r="R279" s="26" t="str"/>
      <x:c r="S279" s="26" t="str"/>
      <x:c r="T279" s="26" t="str"/>
      <x:c r="U279" s="26" t="str">
        <x:v>QA</x:v>
      </x:c>
      <x:c r="V279" s="26" t="str"/>
      <x:c r="W279" s="29" t="str"/>
      <x:c r="X279" s="26" t="str"/>
      <x:c r="Y279" s="26" t="str">
        <x:v>Not Required</x:v>
      </x:c>
      <x:c r="Z279" s="26" t="str"/>
      <x:c r="AA279" s="28" t="n">
        <x:f>IF(OR(O279="Passed",O279="Failed",O279="Blocked"),1,0)</x:f>
        <x:v>0</x:v>
      </x:c>
      <x:c r="AB279" s="28" t="n">
        <x:f>IF(O279="Passed",1,0)</x:f>
        <x:v>0</x:v>
      </x:c>
      <x:c r="AC279" s="28" t="n">
        <x:f>IF(AND(OR(R279="Critical",R279="High"),OR(O279="Failed",O279="Blocked"),S279&lt;&gt;"Closed",S279&lt;&gt;"Rejected"),1,0)</x:f>
        <x:v>0</x:v>
      </x:c>
      <x:c r="AD279" s="28" t="n">
        <x:f>IF(X279&lt;&gt;"",1,0)</x:f>
        <x:v>0</x:v>
      </x:c>
      <x:c r="AE279" s="28" t="n">
        <x:f>IF(J279&lt;&gt;"",1,0)</x:f>
        <x:v>0</x:v>
      </x:c>
    </x:row>
    <x:row r="280">
      <x:c r="A280" s="23" t="str">
        <x:v>L3-071</x:v>
      </x:c>
      <x:c r="B280" s="23" t="str">
        <x:v>Level 3</x:v>
      </x:c>
      <x:c r="C280" s="23" t="str">
        <x:v>Clinical &amp; Financial Integrity</x:v>
      </x:c>
      <x:c r="D280" s="23" t="str"/>
      <x:c r="E280" s="23" t="str">
        <x:v>Inventory reconciliation</x:v>
      </x:c>
      <x:c r="F280" s="23" t="str">
        <x:v>Integrity</x:v>
      </x:c>
      <x:c r="G280" s="23" t="str">
        <x:v>Senior QA</x:v>
      </x:c>
      <x:c r="H280" s="23" t="str">
        <x:v>Critical</x:v>
      </x:c>
      <x:c r="I280" s="23" t="str">
        <x:v>Yes</x:v>
      </x:c>
      <x:c r="J280" s="23" t="str"/>
      <x:c r="K280" s="23" t="str">
        <x:v>Required master data and user exist.</x:v>
      </x:c>
      <x:c r="L280" s="23" t="str">
        <x:v>Use dedicated non-production test data.</x:v>
      </x:c>
      <x:c r="M280" s="23" t="str">
        <x:v>1. Sign in as Senior QA. 2. Reconcile opening, receipts, consumption, rejects and wastage. 3. Save or submit. 4. Refresh or reopen the record. 5. Compare the result with the pass condition.</x:v>
      </x:c>
      <x:c r="N280" s="23" t="str">
        <x:v>Physical/system balance and reservations agree.</x:v>
      </x:c>
      <x:c r="O280" s="26" t="str">
        <x:v>Not Run</x:v>
      </x:c>
      <x:c r="P280" s="26" t="str"/>
      <x:c r="Q280" s="26" t="str"/>
      <x:c r="R280" s="26" t="str"/>
      <x:c r="S280" s="26" t="str"/>
      <x:c r="T280" s="26" t="str"/>
      <x:c r="U280" s="26" t="str">
        <x:v>QA</x:v>
      </x:c>
      <x:c r="V280" s="26" t="str"/>
      <x:c r="W280" s="29" t="str"/>
      <x:c r="X280" s="26" t="str"/>
      <x:c r="Y280" s="26" t="str">
        <x:v>Not Required</x:v>
      </x:c>
      <x:c r="Z280" s="26" t="str"/>
      <x:c r="AA280" s="28" t="n">
        <x:f>IF(OR(O280="Passed",O280="Failed",O280="Blocked"),1,0)</x:f>
        <x:v>0</x:v>
      </x:c>
      <x:c r="AB280" s="28" t="n">
        <x:f>IF(O280="Passed",1,0)</x:f>
        <x:v>0</x:v>
      </x:c>
      <x:c r="AC280" s="28" t="n">
        <x:f>IF(AND(OR(R280="Critical",R280="High"),OR(O280="Failed",O280="Blocked"),S280&lt;&gt;"Closed",S280&lt;&gt;"Rejected"),1,0)</x:f>
        <x:v>0</x:v>
      </x:c>
      <x:c r="AD280" s="28" t="n">
        <x:f>IF(X280&lt;&gt;"",1,0)</x:f>
        <x:v>0</x:v>
      </x:c>
      <x:c r="AE280" s="28" t="n">
        <x:f>IF(J280&lt;&gt;"",1,0)</x:f>
        <x:v>0</x:v>
      </x:c>
    </x:row>
    <x:row r="281">
      <x:c r="A281" s="23" t="str">
        <x:v>L3-072</x:v>
      </x:c>
      <x:c r="B281" s="23" t="str">
        <x:v>Level 3</x:v>
      </x:c>
      <x:c r="C281" s="23" t="str">
        <x:v>Clinical &amp; Financial Integrity</x:v>
      </x:c>
      <x:c r="D281" s="23" t="str"/>
      <x:c r="E281" s="23" t="str">
        <x:v>Audit completeness</x:v>
      </x:c>
      <x:c r="F281" s="23" t="str">
        <x:v>Integrity</x:v>
      </x:c>
      <x:c r="G281" s="23" t="str">
        <x:v>Senior QA</x:v>
      </x:c>
      <x:c r="H281" s="23" t="str">
        <x:v>Critical</x:v>
      </x:c>
      <x:c r="I281" s="23" t="str">
        <x:v>Yes</x:v>
      </x:c>
      <x:c r="J281" s="23" t="str"/>
      <x:c r="K281" s="23" t="str">
        <x:v>Required master data and user exist.</x:v>
      </x:c>
      <x:c r="L281" s="23" t="str">
        <x:v>Use dedicated non-production test data.</x:v>
      </x:c>
      <x:c r="M281" s="23" t="str">
        <x:v>1. Sign in as Senior QA. 2. Sample sensitive actions from every module. 3. Save or submit. 4. Refresh or reopen the record. 5. Compare the result with the pass condition.</x:v>
      </x:c>
      <x:c r="N281" s="23" t="str">
        <x:v>Required actor/action/time/object/before-after/reason evidence exists.</x:v>
      </x:c>
      <x:c r="O281" s="26" t="str">
        <x:v>Not Run</x:v>
      </x:c>
      <x:c r="P281" s="26" t="str"/>
      <x:c r="Q281" s="26" t="str"/>
      <x:c r="R281" s="26" t="str"/>
      <x:c r="S281" s="26" t="str"/>
      <x:c r="T281" s="26" t="str"/>
      <x:c r="U281" s="26" t="str">
        <x:v>QA</x:v>
      </x:c>
      <x:c r="V281" s="26" t="str"/>
      <x:c r="W281" s="29" t="str"/>
      <x:c r="X281" s="26" t="str"/>
      <x:c r="Y281" s="26" t="str">
        <x:v>Not Required</x:v>
      </x:c>
      <x:c r="Z281" s="26" t="str"/>
      <x:c r="AA281" s="28" t="n">
        <x:f>IF(OR(O281="Passed",O281="Failed",O281="Blocked"),1,0)</x:f>
        <x:v>0</x:v>
      </x:c>
      <x:c r="AB281" s="28" t="n">
        <x:f>IF(O281="Passed",1,0)</x:f>
        <x:v>0</x:v>
      </x:c>
      <x:c r="AC281" s="28" t="n">
        <x:f>IF(AND(OR(R281="Critical",R281="High"),OR(O281="Failed",O281="Blocked"),S281&lt;&gt;"Closed",S281&lt;&gt;"Rejected"),1,0)</x:f>
        <x:v>0</x:v>
      </x:c>
      <x:c r="AD281" s="28" t="n">
        <x:f>IF(X281&lt;&gt;"",1,0)</x:f>
        <x:v>0</x:v>
      </x:c>
      <x:c r="AE281" s="28" t="n">
        <x:f>IF(J281&lt;&gt;"",1,0)</x:f>
        <x:v>0</x:v>
      </x:c>
    </x:row>
    <x:row r="282">
      <x:c r="A282" s="23" t="str">
        <x:v>L3-073</x:v>
      </x:c>
      <x:c r="B282" s="23" t="str">
        <x:v>Level 3</x:v>
      </x:c>
      <x:c r="C282" s="23" t="str">
        <x:v>Clinical &amp; Financial Integrity</x:v>
      </x:c>
      <x:c r="D282" s="23" t="str"/>
      <x:c r="E282" s="23" t="str">
        <x:v>Status synchronization</x:v>
      </x:c>
      <x:c r="F282" s="23" t="str">
        <x:v>Integrity</x:v>
      </x:c>
      <x:c r="G282" s="23" t="str">
        <x:v>Senior QA</x:v>
      </x:c>
      <x:c r="H282" s="23" t="str">
        <x:v>Critical</x:v>
      </x:c>
      <x:c r="I282" s="23" t="str">
        <x:v>Yes</x:v>
      </x:c>
      <x:c r="J282" s="23" t="str"/>
      <x:c r="K282" s="23" t="str">
        <x:v>Required master data and user exist.</x:v>
      </x:c>
      <x:c r="L282" s="23" t="str">
        <x:v>Use dedicated non-production test data.</x:v>
      </x:c>
      <x:c r="M282" s="23" t="str">
        <x:v>1. Sign in as Senior QA. 2. Compare bill, item, sample and report statuses after all paths. 3. Save or submit. 4. Refresh or reopen the record. 5. Compare the result with the pass condition.</x:v>
      </x:c>
      <x:c r="N282" s="23" t="str">
        <x:v>No impossible or stale combination remains.</x:v>
      </x:c>
      <x:c r="O282" s="26" t="str">
        <x:v>Not Run</x:v>
      </x:c>
      <x:c r="P282" s="26" t="str"/>
      <x:c r="Q282" s="26" t="str"/>
      <x:c r="R282" s="26" t="str"/>
      <x:c r="S282" s="26" t="str"/>
      <x:c r="T282" s="26" t="str"/>
      <x:c r="U282" s="26" t="str">
        <x:v>QA</x:v>
      </x:c>
      <x:c r="V282" s="26" t="str"/>
      <x:c r="W282" s="29" t="str"/>
      <x:c r="X282" s="26" t="str"/>
      <x:c r="Y282" s="26" t="str">
        <x:v>Not Required</x:v>
      </x:c>
      <x:c r="Z282" s="26" t="str"/>
      <x:c r="AA282" s="28" t="n">
        <x:f>IF(OR(O282="Passed",O282="Failed",O282="Blocked"),1,0)</x:f>
        <x:v>0</x:v>
      </x:c>
      <x:c r="AB282" s="28" t="n">
        <x:f>IF(O282="Passed",1,0)</x:f>
        <x:v>0</x:v>
      </x:c>
      <x:c r="AC282" s="28" t="n">
        <x:f>IF(AND(OR(R282="Critical",R282="High"),OR(O282="Failed",O282="Blocked"),S282&lt;&gt;"Closed",S282&lt;&gt;"Rejected"),1,0)</x:f>
        <x:v>0</x:v>
      </x:c>
      <x:c r="AD282" s="28" t="n">
        <x:f>IF(X282&lt;&gt;"",1,0)</x:f>
        <x:v>0</x:v>
      </x:c>
      <x:c r="AE282" s="28" t="n">
        <x:f>IF(J282&lt;&gt;"",1,0)</x:f>
        <x:v>0</x:v>
      </x:c>
    </x:row>
    <x:row r="283">
      <x:c r="A283" s="23" t="str">
        <x:v>L3-074</x:v>
      </x:c>
      <x:c r="B283" s="23" t="str">
        <x:v>Level 3</x:v>
      </x:c>
      <x:c r="C283" s="23" t="str">
        <x:v>Clinical &amp; Financial Integrity</x:v>
      </x:c>
      <x:c r="D283" s="23" t="str"/>
      <x:c r="E283" s="23" t="str">
        <x:v>No orphan records</x:v>
      </x:c>
      <x:c r="F283" s="23" t="str">
        <x:v>Integrity</x:v>
      </x:c>
      <x:c r="G283" s="23" t="str">
        <x:v>Senior QA</x:v>
      </x:c>
      <x:c r="H283" s="23" t="str">
        <x:v>Critical</x:v>
      </x:c>
      <x:c r="I283" s="23" t="str">
        <x:v>Yes</x:v>
      </x:c>
      <x:c r="J283" s="23" t="str"/>
      <x:c r="K283" s="23" t="str">
        <x:v>Required master data and user exist.</x:v>
      </x:c>
      <x:c r="L283" s="23" t="str">
        <x:v>Use dedicated non-production test data.</x:v>
      </x:c>
      <x:c r="M283" s="23" t="str">
        <x:v>1. Sign in as Senior QA. 2. Query for unlinked bills, samples, reports, receipts and journals. 3. Save or submit. 4. Refresh or reopen the record. 5. Compare the result with the pass condition.</x:v>
      </x:c>
      <x:c r="N283" s="23" t="str">
        <x:v>No unexplained orphan or duplicate record exists.</x:v>
      </x:c>
      <x:c r="O283" s="26" t="str">
        <x:v>Not Run</x:v>
      </x:c>
      <x:c r="P283" s="26" t="str"/>
      <x:c r="Q283" s="26" t="str"/>
      <x:c r="R283" s="26" t="str"/>
      <x:c r="S283" s="26" t="str"/>
      <x:c r="T283" s="26" t="str"/>
      <x:c r="U283" s="26" t="str">
        <x:v>QA</x:v>
      </x:c>
      <x:c r="V283" s="26" t="str"/>
      <x:c r="W283" s="29" t="str"/>
      <x:c r="X283" s="26" t="str"/>
      <x:c r="Y283" s="26" t="str">
        <x:v>Not Required</x:v>
      </x:c>
      <x:c r="Z283" s="26" t="str"/>
      <x:c r="AA283" s="28" t="n">
        <x:f>IF(OR(O283="Passed",O283="Failed",O283="Blocked"),1,0)</x:f>
        <x:v>0</x:v>
      </x:c>
      <x:c r="AB283" s="28" t="n">
        <x:f>IF(O283="Passed",1,0)</x:f>
        <x:v>0</x:v>
      </x:c>
      <x:c r="AC283" s="28" t="n">
        <x:f>IF(AND(OR(R283="Critical",R283="High"),OR(O283="Failed",O283="Blocked"),S283&lt;&gt;"Closed",S283&lt;&gt;"Rejected"),1,0)</x:f>
        <x:v>0</x:v>
      </x:c>
      <x:c r="AD283" s="28" t="n">
        <x:f>IF(X283&lt;&gt;"",1,0)</x:f>
        <x:v>0</x:v>
      </x:c>
      <x:c r="AE283" s="28" t="n">
        <x:f>IF(J283&lt;&gt;"",1,0)</x:f>
        <x:v>0</x:v>
      </x:c>
    </x:row>
    <x:row r="284">
      <x:c r="A284" s="23" t="str">
        <x:v>L3-075</x:v>
      </x:c>
      <x:c r="B284" s="23" t="str">
        <x:v>Level 3</x:v>
      </x:c>
      <x:c r="C284" s="23" t="str">
        <x:v>Production Operations</x:v>
      </x:c>
      <x:c r="D284" s="23" t="str"/>
      <x:c r="E284" s="23" t="str">
        <x:v>Production configuration</x:v>
      </x:c>
      <x:c r="F284" s="23" t="str">
        <x:v>Operational</x:v>
      </x:c>
      <x:c r="G284" s="23" t="str">
        <x:v>Release Manager</x:v>
      </x:c>
      <x:c r="H284" s="23" t="str">
        <x:v>Critical</x:v>
      </x:c>
      <x:c r="I284" s="23" t="str">
        <x:v>Yes</x:v>
      </x:c>
      <x:c r="J284" s="23" t="str"/>
      <x:c r="K284" s="23" t="str">
        <x:v>Required master data and user exist.</x:v>
      </x:c>
      <x:c r="L284" s="23" t="str">
        <x:v>Use dedicated non-production test data.</x:v>
      </x:c>
      <x:c r="M284" s="23" t="str">
        <x:v>1. Sign in as Release Manager. 2. Validate domains, HTTPS, SMTP, storage, database and secrets. 3. Save or submit. 4. Refresh or reopen the record. 5. Compare the result with the pass condition.</x:v>
      </x:c>
      <x:c r="N284" s="23" t="str">
        <x:v>All production settings are present and no development fallback is active.</x:v>
      </x:c>
      <x:c r="O284" s="26" t="str">
        <x:v>Not Run</x:v>
      </x:c>
      <x:c r="P284" s="26" t="str"/>
      <x:c r="Q284" s="26" t="str"/>
      <x:c r="R284" s="26" t="str"/>
      <x:c r="S284" s="26" t="str"/>
      <x:c r="T284" s="26" t="str"/>
      <x:c r="U284" s="26" t="str">
        <x:v>QA</x:v>
      </x:c>
      <x:c r="V284" s="26" t="str"/>
      <x:c r="W284" s="29" t="str"/>
      <x:c r="X284" s="26" t="str"/>
      <x:c r="Y284" s="26" t="str">
        <x:v>Not Required</x:v>
      </x:c>
      <x:c r="Z284" s="26" t="str"/>
      <x:c r="AA284" s="28" t="n">
        <x:f>IF(OR(O284="Passed",O284="Failed",O284="Blocked"),1,0)</x:f>
        <x:v>0</x:v>
      </x:c>
      <x:c r="AB284" s="28" t="n">
        <x:f>IF(O284="Passed",1,0)</x:f>
        <x:v>0</x:v>
      </x:c>
      <x:c r="AC284" s="28" t="n">
        <x:f>IF(AND(OR(R284="Critical",R284="High"),OR(O284="Failed",O284="Blocked"),S284&lt;&gt;"Closed",S284&lt;&gt;"Rejected"),1,0)</x:f>
        <x:v>0</x:v>
      </x:c>
      <x:c r="AD284" s="28" t="n">
        <x:f>IF(X284&lt;&gt;"",1,0)</x:f>
        <x:v>0</x:v>
      </x:c>
      <x:c r="AE284" s="28" t="n">
        <x:f>IF(J284&lt;&gt;"",1,0)</x:f>
        <x:v>0</x:v>
      </x:c>
    </x:row>
    <x:row r="285">
      <x:c r="A285" s="23" t="str">
        <x:v>L3-076</x:v>
      </x:c>
      <x:c r="B285" s="23" t="str">
        <x:v>Level 3</x:v>
      </x:c>
      <x:c r="C285" s="23" t="str">
        <x:v>Production Operations</x:v>
      </x:c>
      <x:c r="D285" s="23" t="str"/>
      <x:c r="E285" s="23" t="str">
        <x:v>Tenant domain routing</x:v>
      </x:c>
      <x:c r="F285" s="23" t="str">
        <x:v>Operational</x:v>
      </x:c>
      <x:c r="G285" s="23" t="str">
        <x:v>Release Manager</x:v>
      </x:c>
      <x:c r="H285" s="23" t="str">
        <x:v>Critical</x:v>
      </x:c>
      <x:c r="I285" s="23" t="str">
        <x:v>Yes</x:v>
      </x:c>
      <x:c r="J285" s="23" t="str"/>
      <x:c r="K285" s="23" t="str">
        <x:v>Required master data and user exist.</x:v>
      </x:c>
      <x:c r="L285" s="23" t="str">
        <x:v>Use dedicated non-production test data.</x:v>
      </x:c>
      <x:c r="M285" s="23" t="str">
        <x:v>1. Sign in as Release Manager. 2. Open valid/invalid tenant domains. 3. Save or submit. 4. Refresh or reopen the record. 5. Compare the result with the pass condition.</x:v>
      </x:c>
      <x:c r="N285" s="23" t="str">
        <x:v>Correct tenant resolution and safe not-found behavior occur.</x:v>
      </x:c>
      <x:c r="O285" s="26" t="str">
        <x:v>Not Run</x:v>
      </x:c>
      <x:c r="P285" s="26" t="str"/>
      <x:c r="Q285" s="26" t="str"/>
      <x:c r="R285" s="26" t="str"/>
      <x:c r="S285" s="26" t="str"/>
      <x:c r="T285" s="26" t="str"/>
      <x:c r="U285" s="26" t="str">
        <x:v>QA</x:v>
      </x:c>
      <x:c r="V285" s="26" t="str"/>
      <x:c r="W285" s="29" t="str"/>
      <x:c r="X285" s="26" t="str"/>
      <x:c r="Y285" s="26" t="str">
        <x:v>Not Required</x:v>
      </x:c>
      <x:c r="Z285" s="26" t="str"/>
      <x:c r="AA285" s="28" t="n">
        <x:f>IF(OR(O285="Passed",O285="Failed",O285="Blocked"),1,0)</x:f>
        <x:v>0</x:v>
      </x:c>
      <x:c r="AB285" s="28" t="n">
        <x:f>IF(O285="Passed",1,0)</x:f>
        <x:v>0</x:v>
      </x:c>
      <x:c r="AC285" s="28" t="n">
        <x:f>IF(AND(OR(R285="Critical",R285="High"),OR(O285="Failed",O285="Blocked"),S285&lt;&gt;"Closed",S285&lt;&gt;"Rejected"),1,0)</x:f>
        <x:v>0</x:v>
      </x:c>
      <x:c r="AD285" s="28" t="n">
        <x:f>IF(X285&lt;&gt;"",1,0)</x:f>
        <x:v>0</x:v>
      </x:c>
      <x:c r="AE285" s="28" t="n">
        <x:f>IF(J285&lt;&gt;"",1,0)</x:f>
        <x:v>0</x:v>
      </x:c>
    </x:row>
    <x:row r="286">
      <x:c r="A286" s="23" t="str">
        <x:v>L3-077</x:v>
      </x:c>
      <x:c r="B286" s="23" t="str">
        <x:v>Level 3</x:v>
      </x:c>
      <x:c r="C286" s="23" t="str">
        <x:v>Production Operations</x:v>
      </x:c>
      <x:c r="D286" s="23" t="str"/>
      <x:c r="E286" s="23" t="str">
        <x:v>Monitoring</x:v>
      </x:c>
      <x:c r="F286" s="23" t="str">
        <x:v>Operational</x:v>
      </x:c>
      <x:c r="G286" s="23" t="str">
        <x:v>Release Manager</x:v>
      </x:c>
      <x:c r="H286" s="23" t="str">
        <x:v>Critical</x:v>
      </x:c>
      <x:c r="I286" s="23" t="str">
        <x:v>Yes</x:v>
      </x:c>
      <x:c r="J286" s="23" t="str"/>
      <x:c r="K286" s="23" t="str">
        <x:v>Required master data and user exist.</x:v>
      </x:c>
      <x:c r="L286" s="23" t="str">
        <x:v>Use dedicated non-production test data.</x:v>
      </x:c>
      <x:c r="M286" s="23" t="str">
        <x:v>1. Sign in as Release Manager. 2. Trigger application, API, DB, email and storage failures. 3. Save or submit. 4. Refresh or reopen the record. 5. Compare the result with the pass condition.</x:v>
      </x:c>
      <x:c r="N286" s="23" t="str">
        <x:v>Monitoring detects them with actionable context.</x:v>
      </x:c>
      <x:c r="O286" s="26" t="str">
        <x:v>Not Run</x:v>
      </x:c>
      <x:c r="P286" s="26" t="str"/>
      <x:c r="Q286" s="26" t="str"/>
      <x:c r="R286" s="26" t="str"/>
      <x:c r="S286" s="26" t="str"/>
      <x:c r="T286" s="26" t="str"/>
      <x:c r="U286" s="26" t="str">
        <x:v>QA</x:v>
      </x:c>
      <x:c r="V286" s="26" t="str"/>
      <x:c r="W286" s="29" t="str"/>
      <x:c r="X286" s="26" t="str"/>
      <x:c r="Y286" s="26" t="str">
        <x:v>Not Required</x:v>
      </x:c>
      <x:c r="Z286" s="26" t="str"/>
      <x:c r="AA286" s="28" t="n">
        <x:f>IF(OR(O286="Passed",O286="Failed",O286="Blocked"),1,0)</x:f>
        <x:v>0</x:v>
      </x:c>
      <x:c r="AB286" s="28" t="n">
        <x:f>IF(O286="Passed",1,0)</x:f>
        <x:v>0</x:v>
      </x:c>
      <x:c r="AC286" s="28" t="n">
        <x:f>IF(AND(OR(R286="Critical",R286="High"),OR(O286="Failed",O286="Blocked"),S286&lt;&gt;"Closed",S286&lt;&gt;"Rejected"),1,0)</x:f>
        <x:v>0</x:v>
      </x:c>
      <x:c r="AD286" s="28" t="n">
        <x:f>IF(X286&lt;&gt;"",1,0)</x:f>
        <x:v>0</x:v>
      </x:c>
      <x:c r="AE286" s="28" t="n">
        <x:f>IF(J286&lt;&gt;"",1,0)</x:f>
        <x:v>0</x:v>
      </x:c>
    </x:row>
    <x:row r="287">
      <x:c r="A287" s="23" t="str">
        <x:v>L3-078</x:v>
      </x:c>
      <x:c r="B287" s="23" t="str">
        <x:v>Level 3</x:v>
      </x:c>
      <x:c r="C287" s="23" t="str">
        <x:v>Production Operations</x:v>
      </x:c>
      <x:c r="D287" s="23" t="str"/>
      <x:c r="E287" s="23" t="str">
        <x:v>Alert routing</x:v>
      </x:c>
      <x:c r="F287" s="23" t="str">
        <x:v>Operational</x:v>
      </x:c>
      <x:c r="G287" s="23" t="str">
        <x:v>Release Manager</x:v>
      </x:c>
      <x:c r="H287" s="23" t="str">
        <x:v>Critical</x:v>
      </x:c>
      <x:c r="I287" s="23" t="str">
        <x:v>Yes</x:v>
      </x:c>
      <x:c r="J287" s="23" t="str"/>
      <x:c r="K287" s="23" t="str">
        <x:v>Required master data and user exist.</x:v>
      </x:c>
      <x:c r="L287" s="23" t="str">
        <x:v>Use dedicated non-production test data.</x:v>
      </x:c>
      <x:c r="M287" s="23" t="str">
        <x:v>1. Sign in as Release Manager. 2. Trigger Critical and High operational alerts. 3. Save or submit. 4. Refresh or reopen the record. 5. Compare the result with the pass condition.</x:v>
      </x:c>
      <x:c r="N287" s="23" t="str">
        <x:v>The correct on-call owner receives alerts within SLA.</x:v>
      </x:c>
      <x:c r="O287" s="26" t="str">
        <x:v>Not Run</x:v>
      </x:c>
      <x:c r="P287" s="26" t="str"/>
      <x:c r="Q287" s="26" t="str"/>
      <x:c r="R287" s="26" t="str"/>
      <x:c r="S287" s="26" t="str"/>
      <x:c r="T287" s="26" t="str"/>
      <x:c r="U287" s="26" t="str">
        <x:v>QA</x:v>
      </x:c>
      <x:c r="V287" s="26" t="str"/>
      <x:c r="W287" s="29" t="str"/>
      <x:c r="X287" s="26" t="str"/>
      <x:c r="Y287" s="26" t="str">
        <x:v>Not Required</x:v>
      </x:c>
      <x:c r="Z287" s="26" t="str"/>
      <x:c r="AA287" s="28" t="n">
        <x:f>IF(OR(O287="Passed",O287="Failed",O287="Blocked"),1,0)</x:f>
        <x:v>0</x:v>
      </x:c>
      <x:c r="AB287" s="28" t="n">
        <x:f>IF(O287="Passed",1,0)</x:f>
        <x:v>0</x:v>
      </x:c>
      <x:c r="AC287" s="28" t="n">
        <x:f>IF(AND(OR(R287="Critical",R287="High"),OR(O287="Failed",O287="Blocked"),S287&lt;&gt;"Closed",S287&lt;&gt;"Rejected"),1,0)</x:f>
        <x:v>0</x:v>
      </x:c>
      <x:c r="AD287" s="28" t="n">
        <x:f>IF(X287&lt;&gt;"",1,0)</x:f>
        <x:v>0</x:v>
      </x:c>
      <x:c r="AE287" s="28" t="n">
        <x:f>IF(J287&lt;&gt;"",1,0)</x:f>
        <x:v>0</x:v>
      </x:c>
    </x:row>
    <x:row r="288">
      <x:c r="A288" s="23" t="str">
        <x:v>L3-079</x:v>
      </x:c>
      <x:c r="B288" s="23" t="str">
        <x:v>Level 3</x:v>
      </x:c>
      <x:c r="C288" s="23" t="str">
        <x:v>Production Operations</x:v>
      </x:c>
      <x:c r="D288" s="23" t="str"/>
      <x:c r="E288" s="23" t="str">
        <x:v>Log correlation</x:v>
      </x:c>
      <x:c r="F288" s="23" t="str">
        <x:v>Operational</x:v>
      </x:c>
      <x:c r="G288" s="23" t="str">
        <x:v>Release Manager</x:v>
      </x:c>
      <x:c r="H288" s="23" t="str">
        <x:v>Critical</x:v>
      </x:c>
      <x:c r="I288" s="23" t="str">
        <x:v>Yes</x:v>
      </x:c>
      <x:c r="J288" s="23" t="str"/>
      <x:c r="K288" s="23" t="str">
        <x:v>Required master data and user exist.</x:v>
      </x:c>
      <x:c r="L288" s="23" t="str">
        <x:v>Use dedicated non-production test data.</x:v>
      </x:c>
      <x:c r="M288" s="23" t="str">
        <x:v>1. Sign in as Release Manager. 2. Trace a transaction across UI/API/database/audit logs. 3. Save or submit. 4. Refresh or reopen the record. 5. Compare the result with the pass condition.</x:v>
      </x:c>
      <x:c r="N288" s="23" t="str">
        <x:v>A correlation path exists without exposing medical data.</x:v>
      </x:c>
      <x:c r="O288" s="26" t="str">
        <x:v>Not Run</x:v>
      </x:c>
      <x:c r="P288" s="26" t="str"/>
      <x:c r="Q288" s="26" t="str"/>
      <x:c r="R288" s="26" t="str"/>
      <x:c r="S288" s="26" t="str"/>
      <x:c r="T288" s="26" t="str"/>
      <x:c r="U288" s="26" t="str">
        <x:v>QA</x:v>
      </x:c>
      <x:c r="V288" s="26" t="str"/>
      <x:c r="W288" s="29" t="str"/>
      <x:c r="X288" s="26" t="str"/>
      <x:c r="Y288" s="26" t="str">
        <x:v>Not Required</x:v>
      </x:c>
      <x:c r="Z288" s="26" t="str"/>
      <x:c r="AA288" s="28" t="n">
        <x:f>IF(OR(O288="Passed",O288="Failed",O288="Blocked"),1,0)</x:f>
        <x:v>0</x:v>
      </x:c>
      <x:c r="AB288" s="28" t="n">
        <x:f>IF(O288="Passed",1,0)</x:f>
        <x:v>0</x:v>
      </x:c>
      <x:c r="AC288" s="28" t="n">
        <x:f>IF(AND(OR(R288="Critical",R288="High"),OR(O288="Failed",O288="Blocked"),S288&lt;&gt;"Closed",S288&lt;&gt;"Rejected"),1,0)</x:f>
        <x:v>0</x:v>
      </x:c>
      <x:c r="AD288" s="28" t="n">
        <x:f>IF(X288&lt;&gt;"",1,0)</x:f>
        <x:v>0</x:v>
      </x:c>
      <x:c r="AE288" s="28" t="n">
        <x:f>IF(J288&lt;&gt;"",1,0)</x:f>
        <x:v>0</x:v>
      </x:c>
    </x:row>
    <x:row r="289">
      <x:c r="A289" s="23" t="str">
        <x:v>L3-080</x:v>
      </x:c>
      <x:c r="B289" s="23" t="str">
        <x:v>Level 3</x:v>
      </x:c>
      <x:c r="C289" s="23" t="str">
        <x:v>Production Operations</x:v>
      </x:c>
      <x:c r="D289" s="23" t="str"/>
      <x:c r="E289" s="23" t="str">
        <x:v>Health checks</x:v>
      </x:c>
      <x:c r="F289" s="23" t="str">
        <x:v>Operational</x:v>
      </x:c>
      <x:c r="G289" s="23" t="str">
        <x:v>Release Manager</x:v>
      </x:c>
      <x:c r="H289" s="23" t="str">
        <x:v>Critical</x:v>
      </x:c>
      <x:c r="I289" s="23" t="str">
        <x:v>Yes</x:v>
      </x:c>
      <x:c r="J289" s="23" t="str"/>
      <x:c r="K289" s="23" t="str">
        <x:v>Required master data and user exist.</x:v>
      </x:c>
      <x:c r="L289" s="23" t="str">
        <x:v>Use dedicated non-production test data.</x:v>
      </x:c>
      <x:c r="M289" s="23" t="str">
        <x:v>1. Sign in as Release Manager. 2. Check production health/readiness endpoints during dependency failure. 3. Save or submit. 4. Refresh or reopen the record. 5. Compare the result with the pass condition.</x:v>
      </x:c>
      <x:c r="N289" s="23" t="str">
        <x:v>Health state is accurate for routing and operations.</x:v>
      </x:c>
      <x:c r="O289" s="26" t="str">
        <x:v>Not Run</x:v>
      </x:c>
      <x:c r="P289" s="26" t="str"/>
      <x:c r="Q289" s="26" t="str"/>
      <x:c r="R289" s="26" t="str"/>
      <x:c r="S289" s="26" t="str"/>
      <x:c r="T289" s="26" t="str"/>
      <x:c r="U289" s="26" t="str">
        <x:v>QA</x:v>
      </x:c>
      <x:c r="V289" s="26" t="str"/>
      <x:c r="W289" s="29" t="str"/>
      <x:c r="X289" s="26" t="str"/>
      <x:c r="Y289" s="26" t="str">
        <x:v>Not Required</x:v>
      </x:c>
      <x:c r="Z289" s="26" t="str"/>
      <x:c r="AA289" s="28" t="n">
        <x:f>IF(OR(O289="Passed",O289="Failed",O289="Blocked"),1,0)</x:f>
        <x:v>0</x:v>
      </x:c>
      <x:c r="AB289" s="28" t="n">
        <x:f>IF(O289="Passed",1,0)</x:f>
        <x:v>0</x:v>
      </x:c>
      <x:c r="AC289" s="28" t="n">
        <x:f>IF(AND(OR(R289="Critical",R289="High"),OR(O289="Failed",O289="Blocked"),S289&lt;&gt;"Closed",S289&lt;&gt;"Rejected"),1,0)</x:f>
        <x:v>0</x:v>
      </x:c>
      <x:c r="AD289" s="28" t="n">
        <x:f>IF(X289&lt;&gt;"",1,0)</x:f>
        <x:v>0</x:v>
      </x:c>
      <x:c r="AE289" s="28" t="n">
        <x:f>IF(J289&lt;&gt;"",1,0)</x:f>
        <x:v>0</x:v>
      </x:c>
    </x:row>
    <x:row r="290">
      <x:c r="A290" s="23" t="str">
        <x:v>L3-081</x:v>
      </x:c>
      <x:c r="B290" s="23" t="str">
        <x:v>Level 3</x:v>
      </x:c>
      <x:c r="C290" s="23" t="str">
        <x:v>Production Operations</x:v>
      </x:c>
      <x:c r="D290" s="23" t="str"/>
      <x:c r="E290" s="23" t="str">
        <x:v>Deployment rollback</x:v>
      </x:c>
      <x:c r="F290" s="23" t="str">
        <x:v>Operational</x:v>
      </x:c>
      <x:c r="G290" s="23" t="str">
        <x:v>Release Manager</x:v>
      </x:c>
      <x:c r="H290" s="23" t="str">
        <x:v>Critical</x:v>
      </x:c>
      <x:c r="I290" s="23" t="str">
        <x:v>Yes</x:v>
      </x:c>
      <x:c r="J290" s="23" t="str"/>
      <x:c r="K290" s="23" t="str">
        <x:v>Required master data and user exist.</x:v>
      </x:c>
      <x:c r="L290" s="23" t="str">
        <x:v>Use dedicated non-production test data.</x:v>
      </x:c>
      <x:c r="M290" s="23" t="str">
        <x:v>1. Sign in as Release Manager. 2. Deploy a test release and execute rollback. 3. Save or submit. 4. Refresh or reopen the record. 5. Compare the result with the pass condition.</x:v>
      </x:c>
      <x:c r="N290" s="23" t="str">
        <x:v>Rollback is documented, fast and data-safe.</x:v>
      </x:c>
      <x:c r="O290" s="26" t="str">
        <x:v>Not Run</x:v>
      </x:c>
      <x:c r="P290" s="26" t="str"/>
      <x:c r="Q290" s="26" t="str"/>
      <x:c r="R290" s="26" t="str"/>
      <x:c r="S290" s="26" t="str"/>
      <x:c r="T290" s="26" t="str"/>
      <x:c r="U290" s="26" t="str">
        <x:v>QA</x:v>
      </x:c>
      <x:c r="V290" s="26" t="str"/>
      <x:c r="W290" s="29" t="str"/>
      <x:c r="X290" s="26" t="str"/>
      <x:c r="Y290" s="26" t="str">
        <x:v>Not Required</x:v>
      </x:c>
      <x:c r="Z290" s="26" t="str"/>
      <x:c r="AA290" s="28" t="n">
        <x:f>IF(OR(O290="Passed",O290="Failed",O290="Blocked"),1,0)</x:f>
        <x:v>0</x:v>
      </x:c>
      <x:c r="AB290" s="28" t="n">
        <x:f>IF(O290="Passed",1,0)</x:f>
        <x:v>0</x:v>
      </x:c>
      <x:c r="AC290" s="28" t="n">
        <x:f>IF(AND(OR(R290="Critical",R290="High"),OR(O290="Failed",O290="Blocked"),S290&lt;&gt;"Closed",S290&lt;&gt;"Rejected"),1,0)</x:f>
        <x:v>0</x:v>
      </x:c>
      <x:c r="AD290" s="28" t="n">
        <x:f>IF(X290&lt;&gt;"",1,0)</x:f>
        <x:v>0</x:v>
      </x:c>
      <x:c r="AE290" s="28" t="n">
        <x:f>IF(J290&lt;&gt;"",1,0)</x:f>
        <x:v>0</x:v>
      </x:c>
    </x:row>
    <x:row r="291">
      <x:c r="A291" s="23" t="str">
        <x:v>L3-082</x:v>
      </x:c>
      <x:c r="B291" s="23" t="str">
        <x:v>Level 3</x:v>
      </x:c>
      <x:c r="C291" s="23" t="str">
        <x:v>Production Operations</x:v>
      </x:c>
      <x:c r="D291" s="23" t="str"/>
      <x:c r="E291" s="23" t="str">
        <x:v>Database migration</x:v>
      </x:c>
      <x:c r="F291" s="23" t="str">
        <x:v>Operational</x:v>
      </x:c>
      <x:c r="G291" s="23" t="str">
        <x:v>Release Manager</x:v>
      </x:c>
      <x:c r="H291" s="23" t="str">
        <x:v>Critical</x:v>
      </x:c>
      <x:c r="I291" s="23" t="str">
        <x:v>Yes</x:v>
      </x:c>
      <x:c r="J291" s="23" t="str"/>
      <x:c r="K291" s="23" t="str">
        <x:v>Required master data and user exist.</x:v>
      </x:c>
      <x:c r="L291" s="23" t="str">
        <x:v>Use dedicated non-production test data.</x:v>
      </x:c>
      <x:c r="M291" s="23" t="str">
        <x:v>1. Sign in as Release Manager. 2. Run migration on a production-like copy twice. 3. Save or submit. 4. Refresh or reopen the record. 5. Compare the result with the pass condition.</x:v>
      </x:c>
      <x:c r="N291" s="23" t="str">
        <x:v>Migration is idempotent or safely guarded and preserves data.</x:v>
      </x:c>
      <x:c r="O291" s="26" t="str">
        <x:v>Not Run</x:v>
      </x:c>
      <x:c r="P291" s="26" t="str"/>
      <x:c r="Q291" s="26" t="str"/>
      <x:c r="R291" s="26" t="str"/>
      <x:c r="S291" s="26" t="str"/>
      <x:c r="T291" s="26" t="str"/>
      <x:c r="U291" s="26" t="str">
        <x:v>QA</x:v>
      </x:c>
      <x:c r="V291" s="26" t="str"/>
      <x:c r="W291" s="29" t="str"/>
      <x:c r="X291" s="26" t="str"/>
      <x:c r="Y291" s="26" t="str">
        <x:v>Not Required</x:v>
      </x:c>
      <x:c r="Z291" s="26" t="str"/>
      <x:c r="AA291" s="28" t="n">
        <x:f>IF(OR(O291="Passed",O291="Failed",O291="Blocked"),1,0)</x:f>
        <x:v>0</x:v>
      </x:c>
      <x:c r="AB291" s="28" t="n">
        <x:f>IF(O291="Passed",1,0)</x:f>
        <x:v>0</x:v>
      </x:c>
      <x:c r="AC291" s="28" t="n">
        <x:f>IF(AND(OR(R291="Critical",R291="High"),OR(O291="Failed",O291="Blocked"),S291&lt;&gt;"Closed",S291&lt;&gt;"Rejected"),1,0)</x:f>
        <x:v>0</x:v>
      </x:c>
      <x:c r="AD291" s="28" t="n">
        <x:f>IF(X291&lt;&gt;"",1,0)</x:f>
        <x:v>0</x:v>
      </x:c>
      <x:c r="AE291" s="28" t="n">
        <x:f>IF(J291&lt;&gt;"",1,0)</x:f>
        <x:v>0</x:v>
      </x:c>
    </x:row>
    <x:row r="292">
      <x:c r="A292" s="23" t="str">
        <x:v>L3-083</x:v>
      </x:c>
      <x:c r="B292" s="23" t="str">
        <x:v>Level 3</x:v>
      </x:c>
      <x:c r="C292" s="23" t="str">
        <x:v>Production Operations</x:v>
      </x:c>
      <x:c r="D292" s="23" t="str"/>
      <x:c r="E292" s="23" t="str">
        <x:v>Support runbook</x:v>
      </x:c>
      <x:c r="F292" s="23" t="str">
        <x:v>Operational</x:v>
      </x:c>
      <x:c r="G292" s="23" t="str">
        <x:v>Release Manager</x:v>
      </x:c>
      <x:c r="H292" s="23" t="str">
        <x:v>Critical</x:v>
      </x:c>
      <x:c r="I292" s="23" t="str">
        <x:v>Yes</x:v>
      </x:c>
      <x:c r="J292" s="23" t="str"/>
      <x:c r="K292" s="23" t="str">
        <x:v>Required master data and user exist.</x:v>
      </x:c>
      <x:c r="L292" s="23" t="str">
        <x:v>Use dedicated non-production test data.</x:v>
      </x:c>
      <x:c r="M292" s="23" t="str">
        <x:v>1. Sign in as Release Manager. 2. Exercise login, email, payment, report and tenant-support procedures. 3. Save or submit. 4. Refresh or reopen the record. 5. Compare the result with the pass condition.</x:v>
      </x:c>
      <x:c r="N292" s="23" t="str">
        <x:v>Support can diagnose and escalate with defined ownership.</x:v>
      </x:c>
      <x:c r="O292" s="26" t="str">
        <x:v>Not Run</x:v>
      </x:c>
      <x:c r="P292" s="26" t="str"/>
      <x:c r="Q292" s="26" t="str"/>
      <x:c r="R292" s="26" t="str"/>
      <x:c r="S292" s="26" t="str"/>
      <x:c r="T292" s="26" t="str"/>
      <x:c r="U292" s="26" t="str">
        <x:v>QA</x:v>
      </x:c>
      <x:c r="V292" s="26" t="str"/>
      <x:c r="W292" s="29" t="str"/>
      <x:c r="X292" s="26" t="str"/>
      <x:c r="Y292" s="26" t="str">
        <x:v>Not Required</x:v>
      </x:c>
      <x:c r="Z292" s="26" t="str"/>
      <x:c r="AA292" s="28" t="n">
        <x:f>IF(OR(O292="Passed",O292="Failed",O292="Blocked"),1,0)</x:f>
        <x:v>0</x:v>
      </x:c>
      <x:c r="AB292" s="28" t="n">
        <x:f>IF(O292="Passed",1,0)</x:f>
        <x:v>0</x:v>
      </x:c>
      <x:c r="AC292" s="28" t="n">
        <x:f>IF(AND(OR(R292="Critical",R292="High"),OR(O292="Failed",O292="Blocked"),S292&lt;&gt;"Closed",S292&lt;&gt;"Rejected"),1,0)</x:f>
        <x:v>0</x:v>
      </x:c>
      <x:c r="AD292" s="28" t="n">
        <x:f>IF(X292&lt;&gt;"",1,0)</x:f>
        <x:v>0</x:v>
      </x:c>
      <x:c r="AE292" s="28" t="n">
        <x:f>IF(J292&lt;&gt;"",1,0)</x:f>
        <x:v>0</x:v>
      </x:c>
    </x:row>
    <x:row r="293">
      <x:c r="A293" s="23" t="str">
        <x:v>L3-084</x:v>
      </x:c>
      <x:c r="B293" s="23" t="str">
        <x:v>Level 3</x:v>
      </x:c>
      <x:c r="C293" s="23" t="str">
        <x:v>Production Operations</x:v>
      </x:c>
      <x:c r="D293" s="23" t="str"/>
      <x:c r="E293" s="23" t="str">
        <x:v>Incident runbook</x:v>
      </x:c>
      <x:c r="F293" s="23" t="str">
        <x:v>Operational</x:v>
      </x:c>
      <x:c r="G293" s="23" t="str">
        <x:v>Release Manager</x:v>
      </x:c>
      <x:c r="H293" s="23" t="str">
        <x:v>Critical</x:v>
      </x:c>
      <x:c r="I293" s="23" t="str">
        <x:v>Yes</x:v>
      </x:c>
      <x:c r="J293" s="23" t="str"/>
      <x:c r="K293" s="23" t="str">
        <x:v>Required master data and user exist.</x:v>
      </x:c>
      <x:c r="L293" s="23" t="str">
        <x:v>Use dedicated non-production test data.</x:v>
      </x:c>
      <x:c r="M293" s="23" t="str">
        <x:v>1. Sign in as Release Manager. 2. Simulate patient-data or report-release incident. 3. Save or submit. 4. Refresh or reopen the record. 5. Compare the result with the pass condition.</x:v>
      </x:c>
      <x:c r="N293" s="23" t="str">
        <x:v>Containment, evidence, notification and recovery steps are executable.</x:v>
      </x:c>
      <x:c r="O293" s="26" t="str">
        <x:v>Not Run</x:v>
      </x:c>
      <x:c r="P293" s="26" t="str"/>
      <x:c r="Q293" s="26" t="str"/>
      <x:c r="R293" s="26" t="str"/>
      <x:c r="S293" s="26" t="str"/>
      <x:c r="T293" s="26" t="str"/>
      <x:c r="U293" s="26" t="str">
        <x:v>QA</x:v>
      </x:c>
      <x:c r="V293" s="26" t="str"/>
      <x:c r="W293" s="29" t="str"/>
      <x:c r="X293" s="26" t="str"/>
      <x:c r="Y293" s="26" t="str">
        <x:v>Not Required</x:v>
      </x:c>
      <x:c r="Z293" s="26" t="str"/>
      <x:c r="AA293" s="28" t="n">
        <x:f>IF(OR(O293="Passed",O293="Failed",O293="Blocked"),1,0)</x:f>
        <x:v>0</x:v>
      </x:c>
      <x:c r="AB293" s="28" t="n">
        <x:f>IF(O293="Passed",1,0)</x:f>
        <x:v>0</x:v>
      </x:c>
      <x:c r="AC293" s="28" t="n">
        <x:f>IF(AND(OR(R293="Critical",R293="High"),OR(O293="Failed",O293="Blocked"),S293&lt;&gt;"Closed",S293&lt;&gt;"Rejected"),1,0)</x:f>
        <x:v>0</x:v>
      </x:c>
      <x:c r="AD293" s="28" t="n">
        <x:f>IF(X293&lt;&gt;"",1,0)</x:f>
        <x:v>0</x:v>
      </x:c>
      <x:c r="AE293" s="28" t="n">
        <x:f>IF(J293&lt;&gt;"",1,0)</x:f>
        <x:v>0</x:v>
      </x:c>
    </x:row>
    <x:row r="294">
      <x:c r="A294" s="23" t="str">
        <x:v>L3-085</x:v>
      </x:c>
      <x:c r="B294" s="23" t="str">
        <x:v>Level 3</x:v>
      </x:c>
      <x:c r="C294" s="23" t="str">
        <x:v>Production Operations</x:v>
      </x:c>
      <x:c r="D294" s="23" t="str"/>
      <x:c r="E294" s="23" t="str">
        <x:v>Capacity thresholds</x:v>
      </x:c>
      <x:c r="F294" s="23" t="str">
        <x:v>Operational</x:v>
      </x:c>
      <x:c r="G294" s="23" t="str">
        <x:v>Release Manager</x:v>
      </x:c>
      <x:c r="H294" s="23" t="str">
        <x:v>Critical</x:v>
      </x:c>
      <x:c r="I294" s="23" t="str">
        <x:v>Yes</x:v>
      </x:c>
      <x:c r="J294" s="23" t="str"/>
      <x:c r="K294" s="23" t="str">
        <x:v>Required master data and user exist.</x:v>
      </x:c>
      <x:c r="L294" s="23" t="str">
        <x:v>Use dedicated non-production test data.</x:v>
      </x:c>
      <x:c r="M294" s="23" t="str">
        <x:v>1. Sign in as Release Manager. 2. Compare load results with infrastructure limits. 3. Save or submit. 4. Refresh or reopen the record. 5. Compare the result with the pass condition.</x:v>
      </x:c>
      <x:c r="N294" s="23" t="str">
        <x:v>Documented capacity and scale-up thresholds exist.</x:v>
      </x:c>
      <x:c r="O294" s="26" t="str">
        <x:v>Not Run</x:v>
      </x:c>
      <x:c r="P294" s="26" t="str"/>
      <x:c r="Q294" s="26" t="str"/>
      <x:c r="R294" s="26" t="str"/>
      <x:c r="S294" s="26" t="str"/>
      <x:c r="T294" s="26" t="str"/>
      <x:c r="U294" s="26" t="str">
        <x:v>QA</x:v>
      </x:c>
      <x:c r="V294" s="26" t="str"/>
      <x:c r="W294" s="29" t="str"/>
      <x:c r="X294" s="26" t="str"/>
      <x:c r="Y294" s="26" t="str">
        <x:v>Not Required</x:v>
      </x:c>
      <x:c r="Z294" s="26" t="str"/>
      <x:c r="AA294" s="28" t="n">
        <x:f>IF(OR(O294="Passed",O294="Failed",O294="Blocked"),1,0)</x:f>
        <x:v>0</x:v>
      </x:c>
      <x:c r="AB294" s="28" t="n">
        <x:f>IF(O294="Passed",1,0)</x:f>
        <x:v>0</x:v>
      </x:c>
      <x:c r="AC294" s="28" t="n">
        <x:f>IF(AND(OR(R294="Critical",R294="High"),OR(O294="Failed",O294="Blocked"),S294&lt;&gt;"Closed",S294&lt;&gt;"Rejected"),1,0)</x:f>
        <x:v>0</x:v>
      </x:c>
      <x:c r="AD294" s="28" t="n">
        <x:f>IF(X294&lt;&gt;"",1,0)</x:f>
        <x:v>0</x:v>
      </x:c>
      <x:c r="AE294" s="28" t="n">
        <x:f>IF(J294&lt;&gt;"",1,0)</x:f>
        <x:v>0</x:v>
      </x:c>
    </x:row>
    <x:row r="295">
      <x:c r="A295" s="23" t="str">
        <x:v>L3-086</x:v>
      </x:c>
      <x:c r="B295" s="23" t="str">
        <x:v>Level 3</x:v>
      </x:c>
      <x:c r="C295" s="23" t="str">
        <x:v>Production Operations</x:v>
      </x:c>
      <x:c r="D295" s="23" t="str"/>
      <x:c r="E295" s="23" t="str">
        <x:v>License/subscription enforcement</x:v>
      </x:c>
      <x:c r="F295" s="23" t="str">
        <x:v>Operational</x:v>
      </x:c>
      <x:c r="G295" s="23" t="str">
        <x:v>Release Manager</x:v>
      </x:c>
      <x:c r="H295" s="23" t="str">
        <x:v>Critical</x:v>
      </x:c>
      <x:c r="I295" s="23" t="str">
        <x:v>Yes</x:v>
      </x:c>
      <x:c r="J295" s="23" t="str"/>
      <x:c r="K295" s="23" t="str">
        <x:v>Required master data and user exist.</x:v>
      </x:c>
      <x:c r="L295" s="23" t="str">
        <x:v>Use dedicated non-production test data.</x:v>
      </x:c>
      <x:c r="M295" s="23" t="str">
        <x:v>1. Sign in as Release Manager. 2. Validate plan and quota behavior in production-like setup. 3. Save or submit. 4. Refresh or reopen the record. 5. Compare the result with the pass condition.</x:v>
      </x:c>
      <x:c r="N295" s="23" t="str">
        <x:v>Commercial entitlements are enforced without blocking entitled labs.</x:v>
      </x:c>
      <x:c r="O295" s="26" t="str">
        <x:v>Not Run</x:v>
      </x:c>
      <x:c r="P295" s="26" t="str"/>
      <x:c r="Q295" s="26" t="str"/>
      <x:c r="R295" s="26" t="str"/>
      <x:c r="S295" s="26" t="str"/>
      <x:c r="T295" s="26" t="str"/>
      <x:c r="U295" s="26" t="str">
        <x:v>QA</x:v>
      </x:c>
      <x:c r="V295" s="26" t="str"/>
      <x:c r="W295" s="29" t="str"/>
      <x:c r="X295" s="26" t="str"/>
      <x:c r="Y295" s="26" t="str">
        <x:v>Not Required</x:v>
      </x:c>
      <x:c r="Z295" s="26" t="str"/>
      <x:c r="AA295" s="28" t="n">
        <x:f>IF(OR(O295="Passed",O295="Failed",O295="Blocked"),1,0)</x:f>
        <x:v>0</x:v>
      </x:c>
      <x:c r="AB295" s="28" t="n">
        <x:f>IF(O295="Passed",1,0)</x:f>
        <x:v>0</x:v>
      </x:c>
      <x:c r="AC295" s="28" t="n">
        <x:f>IF(AND(OR(R295="Critical",R295="High"),OR(O295="Failed",O295="Blocked"),S295&lt;&gt;"Closed",S295&lt;&gt;"Rejected"),1,0)</x:f>
        <x:v>0</x:v>
      </x:c>
      <x:c r="AD295" s="28" t="n">
        <x:f>IF(X295&lt;&gt;"",1,0)</x:f>
        <x:v>0</x:v>
      </x:c>
      <x:c r="AE295" s="28" t="n">
        <x:f>IF(J295&lt;&gt;"",1,0)</x:f>
        <x:v>0</x:v>
      </x:c>
    </x:row>
    <x:row r="296">
      <x:c r="A296" s="23" t="str">
        <x:v>L3-087</x:v>
      </x:c>
      <x:c r="B296" s="23" t="str">
        <x:v>Level 3</x:v>
      </x:c>
      <x:c r="C296" s="23" t="str">
        <x:v>Release Certification &amp; Sales UAT</x:v>
      </x:c>
      <x:c r="D296" s="23" t="str"/>
      <x:c r="E296" s="23" t="str">
        <x:v>New lab onboarding</x:v>
      </x:c>
      <x:c r="F296" s="23" t="str">
        <x:v>UAT</x:v>
      </x:c>
      <x:c r="G296" s="23" t="str">
        <x:v>Business UAT Team</x:v>
      </x:c>
      <x:c r="H296" s="23" t="str">
        <x:v>Critical</x:v>
      </x:c>
      <x:c r="I296" s="23" t="str">
        <x:v>Yes</x:v>
      </x:c>
      <x:c r="J296" s="23" t="str"/>
      <x:c r="K296" s="23" t="str">
        <x:v>Required master data and user exist.</x:v>
      </x:c>
      <x:c r="L296" s="23" t="str">
        <x:v>Use dedicated non-production test data.</x:v>
      </x:c>
      <x:c r="M296" s="23" t="str">
        <x:v>1. Sign in as Business UAT Team. 2. Onboard a clean customer-like lab without developer fixes. 3. Save or submit. 4. Refresh or reopen the record. 5. Compare the result with the pass condition.</x:v>
      </x:c>
      <x:c r="N296" s="23" t="str">
        <x:v>Admin can configure and start operations using documented steps.</x:v>
      </x:c>
      <x:c r="O296" s="26" t="str">
        <x:v>Not Run</x:v>
      </x:c>
      <x:c r="P296" s="26" t="str"/>
      <x:c r="Q296" s="26" t="str"/>
      <x:c r="R296" s="26" t="str"/>
      <x:c r="S296" s="26" t="str"/>
      <x:c r="T296" s="26" t="str"/>
      <x:c r="U296" s="26" t="str">
        <x:v>QA</x:v>
      </x:c>
      <x:c r="V296" s="26" t="str"/>
      <x:c r="W296" s="29" t="str"/>
      <x:c r="X296" s="26" t="str"/>
      <x:c r="Y296" s="26" t="str">
        <x:v>Not Required</x:v>
      </x:c>
      <x:c r="Z296" s="26" t="str"/>
      <x:c r="AA296" s="28" t="n">
        <x:f>IF(OR(O296="Passed",O296="Failed",O296="Blocked"),1,0)</x:f>
        <x:v>0</x:v>
      </x:c>
      <x:c r="AB296" s="28" t="n">
        <x:f>IF(O296="Passed",1,0)</x:f>
        <x:v>0</x:v>
      </x:c>
      <x:c r="AC296" s="28" t="n">
        <x:f>IF(AND(OR(R296="Critical",R296="High"),OR(O296="Failed",O296="Blocked"),S296&lt;&gt;"Closed",S296&lt;&gt;"Rejected"),1,0)</x:f>
        <x:v>0</x:v>
      </x:c>
      <x:c r="AD296" s="28" t="n">
        <x:f>IF(X296&lt;&gt;"",1,0)</x:f>
        <x:v>0</x:v>
      </x:c>
      <x:c r="AE296" s="28" t="n">
        <x:f>IF(J296&lt;&gt;"",1,0)</x:f>
        <x:v>0</x:v>
      </x:c>
    </x:row>
    <x:row r="297">
      <x:c r="A297" s="23" t="str">
        <x:v>L3-088</x:v>
      </x:c>
      <x:c r="B297" s="23" t="str">
        <x:v>Level 3</x:v>
      </x:c>
      <x:c r="C297" s="23" t="str">
        <x:v>Release Certification &amp; Sales UAT</x:v>
      </x:c>
      <x:c r="D297" s="23" t="str"/>
      <x:c r="E297" s="23" t="str">
        <x:v>Front-desk UAT</x:v>
      </x:c>
      <x:c r="F297" s="23" t="str">
        <x:v>UAT</x:v>
      </x:c>
      <x:c r="G297" s="23" t="str">
        <x:v>Business UAT Team</x:v>
      </x:c>
      <x:c r="H297" s="23" t="str">
        <x:v>Critical</x:v>
      </x:c>
      <x:c r="I297" s="23" t="str">
        <x:v>Yes</x:v>
      </x:c>
      <x:c r="J297" s="23" t="str"/>
      <x:c r="K297" s="23" t="str">
        <x:v>Required master data and user exist.</x:v>
      </x:c>
      <x:c r="L297" s="23" t="str">
        <x:v>Use dedicated non-production test data.</x:v>
      </x:c>
      <x:c r="M297" s="23" t="str">
        <x:v>1. Sign in as Business UAT Team. 2. Run registration, billing, receipt and portal issue as real staff. 3. Save or submit. 4. Refresh or reopen the record. 5. Compare the result with the pass condition.</x:v>
      </x:c>
      <x:c r="N297" s="23" t="str">
        <x:v>Workflow is understandable and completes within agreed time.</x:v>
      </x:c>
      <x:c r="O297" s="26" t="str">
        <x:v>Not Run</x:v>
      </x:c>
      <x:c r="P297" s="26" t="str"/>
      <x:c r="Q297" s="26" t="str"/>
      <x:c r="R297" s="26" t="str"/>
      <x:c r="S297" s="26" t="str"/>
      <x:c r="T297" s="26" t="str"/>
      <x:c r="U297" s="26" t="str">
        <x:v>QA</x:v>
      </x:c>
      <x:c r="V297" s="26" t="str"/>
      <x:c r="W297" s="29" t="str"/>
      <x:c r="X297" s="26" t="str"/>
      <x:c r="Y297" s="26" t="str">
        <x:v>Not Required</x:v>
      </x:c>
      <x:c r="Z297" s="26" t="str"/>
      <x:c r="AA297" s="28" t="n">
        <x:f>IF(OR(O297="Passed",O297="Failed",O297="Blocked"),1,0)</x:f>
        <x:v>0</x:v>
      </x:c>
      <x:c r="AB297" s="28" t="n">
        <x:f>IF(O297="Passed",1,0)</x:f>
        <x:v>0</x:v>
      </x:c>
      <x:c r="AC297" s="28" t="n">
        <x:f>IF(AND(OR(R297="Critical",R297="High"),OR(O297="Failed",O297="Blocked"),S297&lt;&gt;"Closed",S297&lt;&gt;"Rejected"),1,0)</x:f>
        <x:v>0</x:v>
      </x:c>
      <x:c r="AD297" s="28" t="n">
        <x:f>IF(X297&lt;&gt;"",1,0)</x:f>
        <x:v>0</x:v>
      </x:c>
      <x:c r="AE297" s="28" t="n">
        <x:f>IF(J297&lt;&gt;"",1,0)</x:f>
        <x:v>0</x:v>
      </x:c>
    </x:row>
    <x:row r="298">
      <x:c r="A298" s="23" t="str">
        <x:v>L3-089</x:v>
      </x:c>
      <x:c r="B298" s="23" t="str">
        <x:v>Level 3</x:v>
      </x:c>
      <x:c r="C298" s="23" t="str">
        <x:v>Release Certification &amp; Sales UAT</x:v>
      </x:c>
      <x:c r="D298" s="23" t="str"/>
      <x:c r="E298" s="23" t="str">
        <x:v>Lab UAT</x:v>
      </x:c>
      <x:c r="F298" s="23" t="str">
        <x:v>UAT</x:v>
      </x:c>
      <x:c r="G298" s="23" t="str">
        <x:v>Business UAT Team</x:v>
      </x:c>
      <x:c r="H298" s="23" t="str">
        <x:v>Critical</x:v>
      </x:c>
      <x:c r="I298" s="23" t="str">
        <x:v>Yes</x:v>
      </x:c>
      <x:c r="J298" s="23" t="str"/>
      <x:c r="K298" s="23" t="str">
        <x:v>Required master data and user exist.</x:v>
      </x:c>
      <x:c r="L298" s="23" t="str">
        <x:v>Use dedicated non-production test data.</x:v>
      </x:c>
      <x:c r="M298" s="23" t="str">
        <x:v>1. Sign in as Business UAT Team. 2. Run collection, processing, rejection and report entry. 3. Save or submit. 4. Refresh or reopen the record. 5. Compare the result with the pass condition.</x:v>
      </x:c>
      <x:c r="N298" s="23" t="str">
        <x:v>Work queues and hand-offs are clear and reliable.</x:v>
      </x:c>
      <x:c r="O298" s="26" t="str">
        <x:v>Not Run</x:v>
      </x:c>
      <x:c r="P298" s="26" t="str"/>
      <x:c r="Q298" s="26" t="str"/>
      <x:c r="R298" s="26" t="str"/>
      <x:c r="S298" s="26" t="str"/>
      <x:c r="T298" s="26" t="str"/>
      <x:c r="U298" s="26" t="str">
        <x:v>QA</x:v>
      </x:c>
      <x:c r="V298" s="26" t="str"/>
      <x:c r="W298" s="29" t="str"/>
      <x:c r="X298" s="26" t="str"/>
      <x:c r="Y298" s="26" t="str">
        <x:v>Not Required</x:v>
      </x:c>
      <x:c r="Z298" s="26" t="str"/>
      <x:c r="AA298" s="28" t="n">
        <x:f>IF(OR(O298="Passed",O298="Failed",O298="Blocked"),1,0)</x:f>
        <x:v>0</x:v>
      </x:c>
      <x:c r="AB298" s="28" t="n">
        <x:f>IF(O298="Passed",1,0)</x:f>
        <x:v>0</x:v>
      </x:c>
      <x:c r="AC298" s="28" t="n">
        <x:f>IF(AND(OR(R298="Critical",R298="High"),OR(O298="Failed",O298="Blocked"),S298&lt;&gt;"Closed",S298&lt;&gt;"Rejected"),1,0)</x:f>
        <x:v>0</x:v>
      </x:c>
      <x:c r="AD298" s="28" t="n">
        <x:f>IF(X298&lt;&gt;"",1,0)</x:f>
        <x:v>0</x:v>
      </x:c>
      <x:c r="AE298" s="28" t="n">
        <x:f>IF(J298&lt;&gt;"",1,0)</x:f>
        <x:v>0</x:v>
      </x:c>
    </x:row>
    <x:row r="299">
      <x:c r="A299" s="23" t="str">
        <x:v>L3-090</x:v>
      </x:c>
      <x:c r="B299" s="23" t="str">
        <x:v>Level 3</x:v>
      </x:c>
      <x:c r="C299" s="23" t="str">
        <x:v>Release Certification &amp; Sales UAT</x:v>
      </x:c>
      <x:c r="D299" s="23" t="str"/>
      <x:c r="E299" s="23" t="str">
        <x:v>Pathologist UAT</x:v>
      </x:c>
      <x:c r="F299" s="23" t="str">
        <x:v>UAT</x:v>
      </x:c>
      <x:c r="G299" s="23" t="str">
        <x:v>Business UAT Team</x:v>
      </x:c>
      <x:c r="H299" s="23" t="str">
        <x:v>Critical</x:v>
      </x:c>
      <x:c r="I299" s="23" t="str">
        <x:v>Yes</x:v>
      </x:c>
      <x:c r="J299" s="23" t="str"/>
      <x:c r="K299" s="23" t="str">
        <x:v>Required master data and user exist.</x:v>
      </x:c>
      <x:c r="L299" s="23" t="str">
        <x:v>Use dedicated non-production test data.</x:v>
      </x:c>
      <x:c r="M299" s="23" t="str">
        <x:v>1. Sign in as Business UAT Team. 2. Review, approve, release, print and correct reports. 3. Save or submit. 4. Refresh or reopen the record. 5. Compare the result with the pass condition.</x:v>
      </x:c>
      <x:c r="N299" s="23" t="str">
        <x:v>Clinical controls and outputs meet sign-off expectations.</x:v>
      </x:c>
      <x:c r="O299" s="26" t="str">
        <x:v>Not Run</x:v>
      </x:c>
      <x:c r="P299" s="26" t="str"/>
      <x:c r="Q299" s="26" t="str"/>
      <x:c r="R299" s="26" t="str"/>
      <x:c r="S299" s="26" t="str"/>
      <x:c r="T299" s="26" t="str"/>
      <x:c r="U299" s="26" t="str">
        <x:v>QA</x:v>
      </x:c>
      <x:c r="V299" s="26" t="str"/>
      <x:c r="W299" s="29" t="str"/>
      <x:c r="X299" s="26" t="str"/>
      <x:c r="Y299" s="26" t="str">
        <x:v>Not Required</x:v>
      </x:c>
      <x:c r="Z299" s="26" t="str"/>
      <x:c r="AA299" s="28" t="n">
        <x:f>IF(OR(O299="Passed",O299="Failed",O299="Blocked"),1,0)</x:f>
        <x:v>0</x:v>
      </x:c>
      <x:c r="AB299" s="28" t="n">
        <x:f>IF(O299="Passed",1,0)</x:f>
        <x:v>0</x:v>
      </x:c>
      <x:c r="AC299" s="28" t="n">
        <x:f>IF(AND(OR(R299="Critical",R299="High"),OR(O299="Failed",O299="Blocked"),S299&lt;&gt;"Closed",S299&lt;&gt;"Rejected"),1,0)</x:f>
        <x:v>0</x:v>
      </x:c>
      <x:c r="AD299" s="28" t="n">
        <x:f>IF(X299&lt;&gt;"",1,0)</x:f>
        <x:v>0</x:v>
      </x:c>
      <x:c r="AE299" s="28" t="n">
        <x:f>IF(J299&lt;&gt;"",1,0)</x:f>
        <x:v>0</x:v>
      </x:c>
    </x:row>
    <x:row r="300">
      <x:c r="A300" s="23" t="str">
        <x:v>L3-091</x:v>
      </x:c>
      <x:c r="B300" s="23" t="str">
        <x:v>Level 3</x:v>
      </x:c>
      <x:c r="C300" s="23" t="str">
        <x:v>Release Certification &amp; Sales UAT</x:v>
      </x:c>
      <x:c r="D300" s="23" t="str"/>
      <x:c r="E300" s="23" t="str">
        <x:v>Accounts UAT</x:v>
      </x:c>
      <x:c r="F300" s="23" t="str">
        <x:v>UAT</x:v>
      </x:c>
      <x:c r="G300" s="23" t="str">
        <x:v>Business UAT Team</x:v>
      </x:c>
      <x:c r="H300" s="23" t="str">
        <x:v>Critical</x:v>
      </x:c>
      <x:c r="I300" s="23" t="str">
        <x:v>Yes</x:v>
      </x:c>
      <x:c r="J300" s="23" t="str"/>
      <x:c r="K300" s="23" t="str">
        <x:v>Required master data and user exist.</x:v>
      </x:c>
      <x:c r="L300" s="23" t="str">
        <x:v>Use dedicated non-production test data.</x:v>
      </x:c>
      <x:c r="M300" s="23" t="str">
        <x:v>1. Sign in as Business UAT Team. 2. Run collection, refund, close, reconciliation and reporting. 3. Save or submit. 4. Refresh or reopen the record. 5. Compare the result with the pass condition.</x:v>
      </x:c>
      <x:c r="N300" s="23" t="str">
        <x:v>Financial controls and reports meet sign-off expectations.</x:v>
      </x:c>
      <x:c r="O300" s="26" t="str">
        <x:v>Not Run</x:v>
      </x:c>
      <x:c r="P300" s="26" t="str"/>
      <x:c r="Q300" s="26" t="str"/>
      <x:c r="R300" s="26" t="str"/>
      <x:c r="S300" s="26" t="str"/>
      <x:c r="T300" s="26" t="str"/>
      <x:c r="U300" s="26" t="str">
        <x:v>QA</x:v>
      </x:c>
      <x:c r="V300" s="26" t="str"/>
      <x:c r="W300" s="29" t="str"/>
      <x:c r="X300" s="26" t="str"/>
      <x:c r="Y300" s="26" t="str">
        <x:v>Not Required</x:v>
      </x:c>
      <x:c r="Z300" s="26" t="str"/>
      <x:c r="AA300" s="28" t="n">
        <x:f>IF(OR(O300="Passed",O300="Failed",O300="Blocked"),1,0)</x:f>
        <x:v>0</x:v>
      </x:c>
      <x:c r="AB300" s="28" t="n">
        <x:f>IF(O300="Passed",1,0)</x:f>
        <x:v>0</x:v>
      </x:c>
      <x:c r="AC300" s="28" t="n">
        <x:f>IF(AND(OR(R300="Critical",R300="High"),OR(O300="Failed",O300="Blocked"),S300&lt;&gt;"Closed",S300&lt;&gt;"Rejected"),1,0)</x:f>
        <x:v>0</x:v>
      </x:c>
      <x:c r="AD300" s="28" t="n">
        <x:f>IF(X300&lt;&gt;"",1,0)</x:f>
        <x:v>0</x:v>
      </x:c>
      <x:c r="AE300" s="28" t="n">
        <x:f>IF(J300&lt;&gt;"",1,0)</x:f>
        <x:v>0</x:v>
      </x:c>
    </x:row>
    <x:row r="301">
      <x:c r="A301" s="23" t="str">
        <x:v>L3-092</x:v>
      </x:c>
      <x:c r="B301" s="23" t="str">
        <x:v>Level 3</x:v>
      </x:c>
      <x:c r="C301" s="23" t="str">
        <x:v>Release Certification &amp; Sales UAT</x:v>
      </x:c>
      <x:c r="D301" s="23" t="str"/>
      <x:c r="E301" s="23" t="str">
        <x:v>Inventory UAT</x:v>
      </x:c>
      <x:c r="F301" s="23" t="str">
        <x:v>UAT</x:v>
      </x:c>
      <x:c r="G301" s="23" t="str">
        <x:v>Business UAT Team</x:v>
      </x:c>
      <x:c r="H301" s="23" t="str">
        <x:v>Critical</x:v>
      </x:c>
      <x:c r="I301" s="23" t="str">
        <x:v>Yes</x:v>
      </x:c>
      <x:c r="J301" s="23" t="str"/>
      <x:c r="K301" s="23" t="str">
        <x:v>Required master data and user exist.</x:v>
      </x:c>
      <x:c r="L301" s="23" t="str">
        <x:v>Use dedicated non-production test data.</x:v>
      </x:c>
      <x:c r="M301" s="23" t="str">
        <x:v>1. Sign in as Business UAT Team. 2. Receive, issue, consume, alert and reconcile stock. 3. Save or submit. 4. Refresh or reopen the record. 5. Compare the result with the pass condition.</x:v>
      </x:c>
      <x:c r="N301" s="23" t="str">
        <x:v>Inventory is usable for daily lab operations.</x:v>
      </x:c>
      <x:c r="O301" s="26" t="str">
        <x:v>Not Run</x:v>
      </x:c>
      <x:c r="P301" s="26" t="str"/>
      <x:c r="Q301" s="26" t="str"/>
      <x:c r="R301" s="26" t="str"/>
      <x:c r="S301" s="26" t="str"/>
      <x:c r="T301" s="26" t="str"/>
      <x:c r="U301" s="26" t="str">
        <x:v>QA</x:v>
      </x:c>
      <x:c r="V301" s="26" t="str"/>
      <x:c r="W301" s="29" t="str"/>
      <x:c r="X301" s="26" t="str"/>
      <x:c r="Y301" s="26" t="str">
        <x:v>Not Required</x:v>
      </x:c>
      <x:c r="Z301" s="26" t="str"/>
      <x:c r="AA301" s="28" t="n">
        <x:f>IF(OR(O301="Passed",O301="Failed",O301="Blocked"),1,0)</x:f>
        <x:v>0</x:v>
      </x:c>
      <x:c r="AB301" s="28" t="n">
        <x:f>IF(O301="Passed",1,0)</x:f>
        <x:v>0</x:v>
      </x:c>
      <x:c r="AC301" s="28" t="n">
        <x:f>IF(AND(OR(R301="Critical",R301="High"),OR(O301="Failed",O301="Blocked"),S301&lt;&gt;"Closed",S301&lt;&gt;"Rejected"),1,0)</x:f>
        <x:v>0</x:v>
      </x:c>
      <x:c r="AD301" s="28" t="n">
        <x:f>IF(X301&lt;&gt;"",1,0)</x:f>
        <x:v>0</x:v>
      </x:c>
      <x:c r="AE301" s="28" t="n">
        <x:f>IF(J301&lt;&gt;"",1,0)</x:f>
        <x:v>0</x:v>
      </x:c>
    </x:row>
    <x:row r="302">
      <x:c r="A302" s="23" t="str">
        <x:v>L3-093</x:v>
      </x:c>
      <x:c r="B302" s="23" t="str">
        <x:v>Level 3</x:v>
      </x:c>
      <x:c r="C302" s="23" t="str">
        <x:v>Release Certification &amp; Sales UAT</x:v>
      </x:c>
      <x:c r="D302" s="23" t="str"/>
      <x:c r="E302" s="23" t="str">
        <x:v>Doctor UAT</x:v>
      </x:c>
      <x:c r="F302" s="23" t="str">
        <x:v>UAT</x:v>
      </x:c>
      <x:c r="G302" s="23" t="str">
        <x:v>Business UAT Team</x:v>
      </x:c>
      <x:c r="H302" s="23" t="str">
        <x:v>Critical</x:v>
      </x:c>
      <x:c r="I302" s="23" t="str">
        <x:v>Yes</x:v>
      </x:c>
      <x:c r="J302" s="23" t="str"/>
      <x:c r="K302" s="23" t="str">
        <x:v>Required master data and user exist.</x:v>
      </x:c>
      <x:c r="L302" s="23" t="str">
        <x:v>Use dedicated non-production test data.</x:v>
      </x:c>
      <x:c r="M302" s="23" t="str">
        <x:v>1. Sign in as Business UAT Team. 2. Activate, view referrals/reports/commission and create a request. 3. Save or submit. 4. Refresh or reopen the record. 5. Compare the result with the pass condition.</x:v>
      </x:c>
      <x:c r="N302" s="23" t="str">
        <x:v>Doctor experience and privacy meet sign-off expectations.</x:v>
      </x:c>
      <x:c r="O302" s="26" t="str">
        <x:v>Not Run</x:v>
      </x:c>
      <x:c r="P302" s="26" t="str"/>
      <x:c r="Q302" s="26" t="str"/>
      <x:c r="R302" s="26" t="str"/>
      <x:c r="S302" s="26" t="str"/>
      <x:c r="T302" s="26" t="str"/>
      <x:c r="U302" s="26" t="str">
        <x:v>QA</x:v>
      </x:c>
      <x:c r="V302" s="26" t="str"/>
      <x:c r="W302" s="29" t="str"/>
      <x:c r="X302" s="26" t="str"/>
      <x:c r="Y302" s="26" t="str">
        <x:v>Not Required</x:v>
      </x:c>
      <x:c r="Z302" s="26" t="str"/>
      <x:c r="AA302" s="28" t="n">
        <x:f>IF(OR(O302="Passed",O302="Failed",O302="Blocked"),1,0)</x:f>
        <x:v>0</x:v>
      </x:c>
      <x:c r="AB302" s="28" t="n">
        <x:f>IF(O302="Passed",1,0)</x:f>
        <x:v>0</x:v>
      </x:c>
      <x:c r="AC302" s="28" t="n">
        <x:f>IF(AND(OR(R302="Critical",R302="High"),OR(O302="Failed",O302="Blocked"),S302&lt;&gt;"Closed",S302&lt;&gt;"Rejected"),1,0)</x:f>
        <x:v>0</x:v>
      </x:c>
      <x:c r="AD302" s="28" t="n">
        <x:f>IF(X302&lt;&gt;"",1,0)</x:f>
        <x:v>0</x:v>
      </x:c>
      <x:c r="AE302" s="28" t="n">
        <x:f>IF(J302&lt;&gt;"",1,0)</x:f>
        <x:v>0</x:v>
      </x:c>
    </x:row>
    <x:row r="303">
      <x:c r="A303" s="23" t="str">
        <x:v>L3-094</x:v>
      </x:c>
      <x:c r="B303" s="23" t="str">
        <x:v>Level 3</x:v>
      </x:c>
      <x:c r="C303" s="23" t="str">
        <x:v>Release Certification &amp; Sales UAT</x:v>
      </x:c>
      <x:c r="D303" s="23" t="str"/>
      <x:c r="E303" s="23" t="str">
        <x:v>Patient UAT</x:v>
      </x:c>
      <x:c r="F303" s="23" t="str">
        <x:v>UAT</x:v>
      </x:c>
      <x:c r="G303" s="23" t="str">
        <x:v>Business UAT Team</x:v>
      </x:c>
      <x:c r="H303" s="23" t="str">
        <x:v>Critical</x:v>
      </x:c>
      <x:c r="I303" s="23" t="str">
        <x:v>Yes</x:v>
      </x:c>
      <x:c r="J303" s="23" t="str"/>
      <x:c r="K303" s="23" t="str">
        <x:v>Required master data and user exist.</x:v>
      </x:c>
      <x:c r="L303" s="23" t="str">
        <x:v>Use dedicated non-production test data.</x:v>
      </x:c>
      <x:c r="M303" s="23" t="str">
        <x:v>1. Sign in as Business UAT Team. 2. Activate, log in, view and print bills/reports on mobile. 3. Save or submit. 4. Refresh or reopen the record. 5. Compare the result with the pass condition.</x:v>
      </x:c>
      <x:c r="N303" s="23" t="str">
        <x:v>Patient experience is clear, private and usable.</x:v>
      </x:c>
      <x:c r="O303" s="26" t="str">
        <x:v>Not Run</x:v>
      </x:c>
      <x:c r="P303" s="26" t="str"/>
      <x:c r="Q303" s="26" t="str"/>
      <x:c r="R303" s="26" t="str"/>
      <x:c r="S303" s="26" t="str"/>
      <x:c r="T303" s="26" t="str"/>
      <x:c r="U303" s="26" t="str">
        <x:v>QA</x:v>
      </x:c>
      <x:c r="V303" s="26" t="str"/>
      <x:c r="W303" s="29" t="str"/>
      <x:c r="X303" s="26" t="str"/>
      <x:c r="Y303" s="26" t="str">
        <x:v>Not Required</x:v>
      </x:c>
      <x:c r="Z303" s="26" t="str"/>
      <x:c r="AA303" s="28" t="n">
        <x:f>IF(OR(O303="Passed",O303="Failed",O303="Blocked"),1,0)</x:f>
        <x:v>0</x:v>
      </x:c>
      <x:c r="AB303" s="28" t="n">
        <x:f>IF(O303="Passed",1,0)</x:f>
        <x:v>0</x:v>
      </x:c>
      <x:c r="AC303" s="28" t="n">
        <x:f>IF(AND(OR(R303="Critical",R303="High"),OR(O303="Failed",O303="Blocked"),S303&lt;&gt;"Closed",S303&lt;&gt;"Rejected"),1,0)</x:f>
        <x:v>0</x:v>
      </x:c>
      <x:c r="AD303" s="28" t="n">
        <x:f>IF(X303&lt;&gt;"",1,0)</x:f>
        <x:v>0</x:v>
      </x:c>
      <x:c r="AE303" s="28" t="n">
        <x:f>IF(J303&lt;&gt;"",1,0)</x:f>
        <x:v>0</x:v>
      </x:c>
    </x:row>
    <x:row r="304">
      <x:c r="A304" s="23" t="str">
        <x:v>L3-095</x:v>
      </x:c>
      <x:c r="B304" s="23" t="str">
        <x:v>Level 3</x:v>
      </x:c>
      <x:c r="C304" s="23" t="str">
        <x:v>Release Certification &amp; Sales UAT</x:v>
      </x:c>
      <x:c r="D304" s="23" t="str"/>
      <x:c r="E304" s="23" t="str">
        <x:v>Training validation</x:v>
      </x:c>
      <x:c r="F304" s="23" t="str">
        <x:v>UAT</x:v>
      </x:c>
      <x:c r="G304" s="23" t="str">
        <x:v>Business UAT Team</x:v>
      </x:c>
      <x:c r="H304" s="23" t="str">
        <x:v>Critical</x:v>
      </x:c>
      <x:c r="I304" s="23" t="str">
        <x:v>Yes</x:v>
      </x:c>
      <x:c r="J304" s="23" t="str"/>
      <x:c r="K304" s="23" t="str">
        <x:v>Required master data and user exist.</x:v>
      </x:c>
      <x:c r="L304" s="23" t="str">
        <x:v>Use dedicated non-production test data.</x:v>
      </x:c>
      <x:c r="M304" s="23" t="str">
        <x:v>1. Sign in as Business UAT Team. 2. Give role guides to new users and observe task completion. 3. Save or submit. 4. Refresh or reopen the record. 5. Compare the result with the pass condition.</x:v>
      </x:c>
      <x:c r="N304" s="23" t="str">
        <x:v>Users complete critical tasks without undocumented assistance.</x:v>
      </x:c>
      <x:c r="O304" s="26" t="str">
        <x:v>Not Run</x:v>
      </x:c>
      <x:c r="P304" s="26" t="str"/>
      <x:c r="Q304" s="26" t="str"/>
      <x:c r="R304" s="26" t="str"/>
      <x:c r="S304" s="26" t="str"/>
      <x:c r="T304" s="26" t="str"/>
      <x:c r="U304" s="26" t="str">
        <x:v>QA</x:v>
      </x:c>
      <x:c r="V304" s="26" t="str"/>
      <x:c r="W304" s="29" t="str"/>
      <x:c r="X304" s="26" t="str"/>
      <x:c r="Y304" s="26" t="str">
        <x:v>Not Required</x:v>
      </x:c>
      <x:c r="Z304" s="26" t="str"/>
      <x:c r="AA304" s="28" t="n">
        <x:f>IF(OR(O304="Passed",O304="Failed",O304="Blocked"),1,0)</x:f>
        <x:v>0</x:v>
      </x:c>
      <x:c r="AB304" s="28" t="n">
        <x:f>IF(O304="Passed",1,0)</x:f>
        <x:v>0</x:v>
      </x:c>
      <x:c r="AC304" s="28" t="n">
        <x:f>IF(AND(OR(R304="Critical",R304="High"),OR(O304="Failed",O304="Blocked"),S304&lt;&gt;"Closed",S304&lt;&gt;"Rejected"),1,0)</x:f>
        <x:v>0</x:v>
      </x:c>
      <x:c r="AD304" s="28" t="n">
        <x:f>IF(X304&lt;&gt;"",1,0)</x:f>
        <x:v>0</x:v>
      </x:c>
      <x:c r="AE304" s="28" t="n">
        <x:f>IF(J304&lt;&gt;"",1,0)</x:f>
        <x:v>0</x:v>
      </x:c>
    </x:row>
    <x:row r="305">
      <x:c r="A305" s="23" t="str">
        <x:v>L3-096</x:v>
      </x:c>
      <x:c r="B305" s="23" t="str">
        <x:v>Level 3</x:v>
      </x:c>
      <x:c r="C305" s="23" t="str">
        <x:v>Release Certification &amp; Sales UAT</x:v>
      </x:c>
      <x:c r="D305" s="23" t="str"/>
      <x:c r="E305" s="23" t="str">
        <x:v>Sales demo validation</x:v>
      </x:c>
      <x:c r="F305" s="23" t="str">
        <x:v>UAT</x:v>
      </x:c>
      <x:c r="G305" s="23" t="str">
        <x:v>Business UAT Team</x:v>
      </x:c>
      <x:c r="H305" s="23" t="str">
        <x:v>Critical</x:v>
      </x:c>
      <x:c r="I305" s="23" t="str">
        <x:v>Yes</x:v>
      </x:c>
      <x:c r="J305" s="23" t="str"/>
      <x:c r="K305" s="23" t="str">
        <x:v>Required master data and user exist.</x:v>
      </x:c>
      <x:c r="L305" s="23" t="str">
        <x:v>Use dedicated non-production test data.</x:v>
      </x:c>
      <x:c r="M305" s="23" t="str">
        <x:v>1. Sign in as Business UAT Team. 2. Run the approved demo story on a clean demo tenant. 3. Save or submit. 4. Refresh or reopen the record. 5. Compare the result with the pass condition.</x:v>
      </x:c>
      <x:c r="N305" s="23" t="str">
        <x:v>Demo data, speed and screens are stable and presentable.</x:v>
      </x:c>
      <x:c r="O305" s="26" t="str">
        <x:v>Not Run</x:v>
      </x:c>
      <x:c r="P305" s="26" t="str"/>
      <x:c r="Q305" s="26" t="str"/>
      <x:c r="R305" s="26" t="str"/>
      <x:c r="S305" s="26" t="str"/>
      <x:c r="T305" s="26" t="str"/>
      <x:c r="U305" s="26" t="str">
        <x:v>QA</x:v>
      </x:c>
      <x:c r="V305" s="26" t="str"/>
      <x:c r="W305" s="29" t="str"/>
      <x:c r="X305" s="26" t="str"/>
      <x:c r="Y305" s="26" t="str">
        <x:v>Not Required</x:v>
      </x:c>
      <x:c r="Z305" s="26" t="str"/>
      <x:c r="AA305" s="28" t="n">
        <x:f>IF(OR(O305="Passed",O305="Failed",O305="Blocked"),1,0)</x:f>
        <x:v>0</x:v>
      </x:c>
      <x:c r="AB305" s="28" t="n">
        <x:f>IF(O305="Passed",1,0)</x:f>
        <x:v>0</x:v>
      </x:c>
      <x:c r="AC305" s="28" t="n">
        <x:f>IF(AND(OR(R305="Critical",R305="High"),OR(O305="Failed",O305="Blocked"),S305&lt;&gt;"Closed",S305&lt;&gt;"Rejected"),1,0)</x:f>
        <x:v>0</x:v>
      </x:c>
      <x:c r="AD305" s="28" t="n">
        <x:f>IF(X305&lt;&gt;"",1,0)</x:f>
        <x:v>0</x:v>
      </x:c>
      <x:c r="AE305" s="28" t="n">
        <x:f>IF(J305&lt;&gt;"",1,0)</x:f>
        <x:v>0</x:v>
      </x:c>
    </x:row>
    <x:row r="306">
      <x:c r="A306" s="23" t="str">
        <x:v>L3-097</x:v>
      </x:c>
      <x:c r="B306" s="23" t="str">
        <x:v>Level 3</x:v>
      </x:c>
      <x:c r="C306" s="23" t="str">
        <x:v>Release Certification &amp; Sales UAT</x:v>
      </x:c>
      <x:c r="D306" s="23" t="str"/>
      <x:c r="E306" s="23" t="str">
        <x:v>Known-gap acceptance</x:v>
      </x:c>
      <x:c r="F306" s="23" t="str">
        <x:v>UAT</x:v>
      </x:c>
      <x:c r="G306" s="23" t="str">
        <x:v>Business UAT Team</x:v>
      </x:c>
      <x:c r="H306" s="23" t="str">
        <x:v>Critical</x:v>
      </x:c>
      <x:c r="I306" s="23" t="str">
        <x:v>Yes</x:v>
      </x:c>
      <x:c r="J306" s="23" t="str"/>
      <x:c r="K306" s="23" t="str">
        <x:v>Required master data and user exist.</x:v>
      </x:c>
      <x:c r="L306" s="23" t="str">
        <x:v>Use dedicated non-production test data.</x:v>
      </x:c>
      <x:c r="M306" s="23" t="str">
        <x:v>1. Sign in as Business UAT Team. 2. Review every pending/gap-tagged case. 3. Save or submit. 4. Refresh or reopen the record. 5. Compare the result with the pass condition.</x:v>
      </x:c>
      <x:c r="N306" s="23" t="str">
        <x:v>Each gap is fixed, excluded, or formally accepted with owner/date.</x:v>
      </x:c>
      <x:c r="O306" s="26" t="str">
        <x:v>Not Run</x:v>
      </x:c>
      <x:c r="P306" s="26" t="str"/>
      <x:c r="Q306" s="26" t="str"/>
      <x:c r="R306" s="26" t="str"/>
      <x:c r="S306" s="26" t="str"/>
      <x:c r="T306" s="26" t="str"/>
      <x:c r="U306" s="26" t="str">
        <x:v>QA</x:v>
      </x:c>
      <x:c r="V306" s="26" t="str"/>
      <x:c r="W306" s="29" t="str"/>
      <x:c r="X306" s="26" t="str"/>
      <x:c r="Y306" s="26" t="str">
        <x:v>Not Required</x:v>
      </x:c>
      <x:c r="Z306" s="26" t="str"/>
      <x:c r="AA306" s="28" t="n">
        <x:f>IF(OR(O306="Passed",O306="Failed",O306="Blocked"),1,0)</x:f>
        <x:v>0</x:v>
      </x:c>
      <x:c r="AB306" s="28" t="n">
        <x:f>IF(O306="Passed",1,0)</x:f>
        <x:v>0</x:v>
      </x:c>
      <x:c r="AC306" s="28" t="n">
        <x:f>IF(AND(OR(R306="Critical",R306="High"),OR(O306="Failed",O306="Blocked"),S306&lt;&gt;"Closed",S306&lt;&gt;"Rejected"),1,0)</x:f>
        <x:v>0</x:v>
      </x:c>
      <x:c r="AD306" s="28" t="n">
        <x:f>IF(X306&lt;&gt;"",1,0)</x:f>
        <x:v>0</x:v>
      </x:c>
      <x:c r="AE306" s="28" t="n">
        <x:f>IF(J306&lt;&gt;"",1,0)</x:f>
        <x:v>0</x:v>
      </x:c>
    </x:row>
    <x:row r="307">
      <x:c r="A307" s="23" t="str">
        <x:v>L3-098</x:v>
      </x:c>
      <x:c r="B307" s="23" t="str">
        <x:v>Level 3</x:v>
      </x:c>
      <x:c r="C307" s="23" t="str">
        <x:v>Release Certification &amp; Sales UAT</x:v>
      </x:c>
      <x:c r="D307" s="23" t="str"/>
      <x:c r="E307" s="23" t="str">
        <x:v>Go-live checklist</x:v>
      </x:c>
      <x:c r="F307" s="23" t="str">
        <x:v>UAT</x:v>
      </x:c>
      <x:c r="G307" s="23" t="str">
        <x:v>Business UAT Team</x:v>
      </x:c>
      <x:c r="H307" s="23" t="str">
        <x:v>Critical</x:v>
      </x:c>
      <x:c r="I307" s="23" t="str">
        <x:v>Yes</x:v>
      </x:c>
      <x:c r="J307" s="23" t="str"/>
      <x:c r="K307" s="23" t="str">
        <x:v>Required master data and user exist.</x:v>
      </x:c>
      <x:c r="L307" s="23" t="str">
        <x:v>Use dedicated non-production test data.</x:v>
      </x:c>
      <x:c r="M307" s="23" t="str">
        <x:v>1. Sign in as Business UAT Team. 2. Review domains, backups, monitoring, support, data, users and rollback. 3. Save or submit. 4. Refresh or reopen the record. 5. Compare the result with the pass condition.</x:v>
      </x:c>
      <x:c r="N307" s="23" t="str">
        <x:v>All mandatory checklist items have evidence and owner sign-off.</x:v>
      </x:c>
      <x:c r="O307" s="26" t="str">
        <x:v>Not Run</x:v>
      </x:c>
      <x:c r="P307" s="26" t="str"/>
      <x:c r="Q307" s="26" t="str"/>
      <x:c r="R307" s="26" t="str"/>
      <x:c r="S307" s="26" t="str"/>
      <x:c r="T307" s="26" t="str"/>
      <x:c r="U307" s="26" t="str">
        <x:v>QA</x:v>
      </x:c>
      <x:c r="V307" s="26" t="str"/>
      <x:c r="W307" s="29" t="str"/>
      <x:c r="X307" s="26" t="str"/>
      <x:c r="Y307" s="26" t="str">
        <x:v>Not Required</x:v>
      </x:c>
      <x:c r="Z307" s="26" t="str"/>
      <x:c r="AA307" s="28" t="n">
        <x:f>IF(OR(O307="Passed",O307="Failed",O307="Blocked"),1,0)</x:f>
        <x:v>0</x:v>
      </x:c>
      <x:c r="AB307" s="28" t="n">
        <x:f>IF(O307="Passed",1,0)</x:f>
        <x:v>0</x:v>
      </x:c>
      <x:c r="AC307" s="28" t="n">
        <x:f>IF(AND(OR(R307="Critical",R307="High"),OR(O307="Failed",O307="Blocked"),S307&lt;&gt;"Closed",S307&lt;&gt;"Rejected"),1,0)</x:f>
        <x:v>0</x:v>
      </x:c>
      <x:c r="AD307" s="28" t="n">
        <x:f>IF(X307&lt;&gt;"",1,0)</x:f>
        <x:v>0</x:v>
      </x:c>
      <x:c r="AE307" s="28" t="n">
        <x:f>IF(J307&lt;&gt;"",1,0)</x:f>
        <x:v>0</x:v>
      </x:c>
    </x:row>
    <x:row r="308">
      <x:c r="A308" s="23" t="str">
        <x:v>L3-099</x:v>
      </x:c>
      <x:c r="B308" s="23" t="str">
        <x:v>Level 3</x:v>
      </x:c>
      <x:c r="C308" s="23" t="str">
        <x:v>Release Certification &amp; Sales UAT</x:v>
      </x:c>
      <x:c r="D308" s="23" t="str"/>
      <x:c r="E308" s="23" t="str">
        <x:v>Regression completion</x:v>
      </x:c>
      <x:c r="F308" s="23" t="str">
        <x:v>UAT</x:v>
      </x:c>
      <x:c r="G308" s="23" t="str">
        <x:v>Business UAT Team</x:v>
      </x:c>
      <x:c r="H308" s="23" t="str">
        <x:v>Critical</x:v>
      </x:c>
      <x:c r="I308" s="23" t="str">
        <x:v>Yes</x:v>
      </x:c>
      <x:c r="J308" s="23" t="str"/>
      <x:c r="K308" s="23" t="str">
        <x:v>Required master data and user exist.</x:v>
      </x:c>
      <x:c r="L308" s="23" t="str">
        <x:v>Use dedicated non-production test data.</x:v>
      </x:c>
      <x:c r="M308" s="23" t="str">
        <x:v>1. Sign in as Business UAT Team. 2. Execute the complete release regression set. 3. Save or submit. 4. Refresh or reopen the record. 5. Compare the result with the pass condition.</x:v>
      </x:c>
      <x:c r="N308" s="23" t="str">
        <x:v>Required execution/pass thresholds are met.</x:v>
      </x:c>
      <x:c r="O308" s="26" t="str">
        <x:v>Not Run</x:v>
      </x:c>
      <x:c r="P308" s="26" t="str"/>
      <x:c r="Q308" s="26" t="str"/>
      <x:c r="R308" s="26" t="str"/>
      <x:c r="S308" s="26" t="str"/>
      <x:c r="T308" s="26" t="str"/>
      <x:c r="U308" s="26" t="str">
        <x:v>QA</x:v>
      </x:c>
      <x:c r="V308" s="26" t="str"/>
      <x:c r="W308" s="29" t="str"/>
      <x:c r="X308" s="26" t="str"/>
      <x:c r="Y308" s="26" t="str">
        <x:v>Not Required</x:v>
      </x:c>
      <x:c r="Z308" s="26" t="str"/>
      <x:c r="AA308" s="28" t="n">
        <x:f>IF(OR(O308="Passed",O308="Failed",O308="Blocked"),1,0)</x:f>
        <x:v>0</x:v>
      </x:c>
      <x:c r="AB308" s="28" t="n">
        <x:f>IF(O308="Passed",1,0)</x:f>
        <x:v>0</x:v>
      </x:c>
      <x:c r="AC308" s="28" t="n">
        <x:f>IF(AND(OR(R308="Critical",R308="High"),OR(O308="Failed",O308="Blocked"),S308&lt;&gt;"Closed",S308&lt;&gt;"Rejected"),1,0)</x:f>
        <x:v>0</x:v>
      </x:c>
      <x:c r="AD308" s="28" t="n">
        <x:f>IF(X308&lt;&gt;"",1,0)</x:f>
        <x:v>0</x:v>
      </x:c>
      <x:c r="AE308" s="28" t="n">
        <x:f>IF(J308&lt;&gt;"",1,0)</x:f>
        <x:v>0</x:v>
      </x:c>
    </x:row>
    <x:row r="309">
      <x:c r="A309" s="23" t="str">
        <x:v>L3-100</x:v>
      </x:c>
      <x:c r="B309" s="23" t="str">
        <x:v>Level 3</x:v>
      </x:c>
      <x:c r="C309" s="23" t="str">
        <x:v>Release Certification &amp; Sales UAT</x:v>
      </x:c>
      <x:c r="D309" s="23" t="str"/>
      <x:c r="E309" s="23" t="str">
        <x:v>Final release decision</x:v>
      </x:c>
      <x:c r="F309" s="23" t="str">
        <x:v>UAT</x:v>
      </x:c>
      <x:c r="G309" s="23" t="str">
        <x:v>Business UAT Team</x:v>
      </x:c>
      <x:c r="H309" s="23" t="str">
        <x:v>Critical</x:v>
      </x:c>
      <x:c r="I309" s="23" t="str">
        <x:v>Yes</x:v>
      </x:c>
      <x:c r="J309" s="23" t="str"/>
      <x:c r="K309" s="23" t="str">
        <x:v>Required master data and user exist.</x:v>
      </x:c>
      <x:c r="L309" s="23" t="str">
        <x:v>Use dedicated non-production test data.</x:v>
      </x:c>
      <x:c r="M309" s="23" t="str">
        <x:v>1. Sign in as Business UAT Team. 2. Review dashboard, blockers, risks and sign-offs. 3. Save or submit. 4. Refresh or reopen the record. 5. Compare the result with the pass condition.</x:v>
      </x:c>
      <x:c r="N309" s="23" t="str">
        <x:v>READY FOR SALES appears only when every configured gate is met.</x:v>
      </x:c>
      <x:c r="O309" s="26" t="str">
        <x:v>Not Run</x:v>
      </x:c>
      <x:c r="P309" s="26" t="str"/>
      <x:c r="Q309" s="26" t="str"/>
      <x:c r="R309" s="26" t="str"/>
      <x:c r="S309" s="26" t="str"/>
      <x:c r="T309" s="26" t="str"/>
      <x:c r="U309" s="26" t="str">
        <x:v>QA</x:v>
      </x:c>
      <x:c r="V309" s="26" t="str"/>
      <x:c r="W309" s="29" t="str"/>
      <x:c r="X309" s="26" t="str"/>
      <x:c r="Y309" s="26" t="str">
        <x:v>Not Required</x:v>
      </x:c>
      <x:c r="Z309" s="26" t="str"/>
      <x:c r="AA309" s="28" t="n">
        <x:f>IF(OR(O309="Passed",O309="Failed",O309="Blocked"),1,0)</x:f>
        <x:v>0</x:v>
      </x:c>
      <x:c r="AB309" s="28" t="n">
        <x:f>IF(O309="Passed",1,0)</x:f>
        <x:v>0</x:v>
      </x:c>
      <x:c r="AC309" s="28" t="n">
        <x:f>IF(AND(OR(R309="Critical",R309="High"),OR(O309="Failed",O309="Blocked"),S309&lt;&gt;"Closed",S309&lt;&gt;"Rejected"),1,0)</x:f>
        <x:v>0</x:v>
      </x:c>
      <x:c r="AD309" s="28" t="n">
        <x:f>IF(X309&lt;&gt;"",1,0)</x:f>
        <x:v>0</x:v>
      </x:c>
      <x:c r="AE309" s="28" t="n">
        <x:f>IF(J309&lt;&gt;"",1,0)</x:f>
        <x:v>0</x:v>
      </x:c>
    </x:row>
  </x:sheetData>
  <x:mergeCells>
    <x:mergeCell ref="A1:H1"/>
    <x:mergeCell ref="A2:H2"/>
    <x:mergeCell ref="A3:O3"/>
  </x:mergeCells>
  <x:conditionalFormatting sqref="O6:O309">
    <x:cfRule type="containsText" dxfId="0" priority="1" operator="containsText" text="Passed"/>
    <x:cfRule type="containsText" dxfId="1" priority="2" operator="containsText" text="Failed"/>
    <x:cfRule type="containsText" dxfId="2" priority="3" operator="containsText" text="Blocked"/>
    <x:cfRule type="containsText" dxfId="3" priority="4" operator="containsText" text="Not Run"/>
  </x:conditionalFormatting>
  <x:conditionalFormatting sqref="AC6:AC309">
    <x:cfRule type="cellIs" dxfId="4" priority="5" operator="equal">
      <x:formula>1</x:formula>
    </x:cfRule>
  </x:conditionalFormatting>
  <x:dataValidations count="5">
    <x:dataValidation type="list" sqref="O6:O309">
      <x:formula1>"Not Run,Passed,Failed,Blocked,N/A"</x:formula1>
    </x:dataValidation>
    <x:dataValidation type="list" sqref="R6:R309">
      <x:formula1>",Critical,High,Medium,Low"</x:formula1>
    </x:dataValidation>
    <x:dataValidation type="list" sqref="S6:S309">
      <x:formula1>",Open,In Progress,Fixed,Closed,Rejected,Deferred"</x:formula1>
    </x:dataValidation>
    <x:dataValidation type="list" sqref="U6:U309">
      <x:formula1>"QA,UAT,Staging,Production-like"</x:formula1>
    </x:dataValidation>
    <x:dataValidation type="list" sqref="Y6:Y309">
      <x:formula1>"Not Required,Pending,Passed,Failed"</x:formula1>
    </x:dataValidation>
  </x:dataValidations>
  <x:pageMargins left="0.7" right="0.7" top="0.75" bottom="0.75" header="0.3" footer="0.3"/>
  <x:tableParts count="1">
    <x:tablePart xmlns:r="http://schemas.openxmlformats.org/officeDocument/2006/relationships" r:id="R1eb987025ef0405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 min="11" max="11" width="13" hidden="0" customWidth="1"/>
    <x:col min="12" max="12" width="13" hidden="0" customWidth="1"/>
    <x:col min="13" max="13" width="13" hidden="0" customWidth="1"/>
  </x:cols>
  <x:sheetData>
    <x:row r="1" ht="34" customHeight="1">
      <x:c r="A1" s="4" t="str">
        <x:v>LEVEL SUMMARY</x:v>
      </x:c>
      <x:c r="B1" s="4" t="str">
        <x:v>LEVEL SUMMARY</x:v>
      </x:c>
      <x:c r="C1" s="4" t="str">
        <x:v>LEVEL SUMMARY</x:v>
      </x:c>
      <x:c r="D1" s="4" t="str">
        <x:v>LEVEL SUMMARY</x:v>
      </x:c>
      <x:c r="E1" s="4" t="str">
        <x:v>LEVEL SUMMARY</x:v>
      </x:c>
      <x:c r="F1" s="4" t="str">
        <x:v>LEVEL SUMMARY</x:v>
      </x:c>
      <x:c r="G1" s="4" t="str">
        <x:v>LEVEL SUMMARY</x:v>
      </x:c>
      <x:c r="H1" s="4" t="str">
        <x:v>LEVEL SUMMARY</x:v>
      </x:c>
      <x:c r="I1" s="4" t="str">
        <x:v>LEVEL SUMMARY</x:v>
      </x:c>
      <x:c r="J1" s="4" t="str">
        <x:v>LEVEL SUMMARY</x:v>
      </x:c>
      <x:c r="K1" s="4" t="str">
        <x:v>LEVEL SUMMARY</x:v>
      </x:c>
      <x:c r="L1" s="4" t="str">
        <x:v>LEVEL SUMMARY</x:v>
      </x:c>
      <x:c r="M1" s="4" t="str">
        <x:v>LEVEL SUMMARY</x:v>
      </x:c>
    </x:row>
    <x:row r="2" ht="28" customHeight="1">
      <x:c r="A2" s="7" t="str">
        <x:v>Formula-driven execution, pass, evidence and blocker metrics.</x:v>
      </x:c>
      <x:c r="B2" s="7" t="str">
        <x:v>Formula-driven execution, pass, evidence and blocker metrics.</x:v>
      </x:c>
      <x:c r="C2" s="7" t="str">
        <x:v>Formula-driven execution, pass, evidence and blocker metrics.</x:v>
      </x:c>
      <x:c r="D2" s="7" t="str">
        <x:v>Formula-driven execution, pass, evidence and blocker metrics.</x:v>
      </x:c>
      <x:c r="E2" s="7" t="str">
        <x:v>Formula-driven execution, pass, evidence and blocker metrics.</x:v>
      </x:c>
      <x:c r="F2" s="7" t="str">
        <x:v>Formula-driven execution, pass, evidence and blocker metrics.</x:v>
      </x:c>
      <x:c r="G2" s="7" t="str">
        <x:v>Formula-driven execution, pass, evidence and blocker metrics.</x:v>
      </x:c>
      <x:c r="H2" s="7" t="str">
        <x:v>Formula-driven execution, pass, evidence and blocker metrics.</x:v>
      </x:c>
    </x:row>
    <x:row r="5" ht="30" customHeight="1">
      <x:c r="A5" s="19" t="str">
        <x:v>Level</x:v>
      </x:c>
      <x:c r="B5" s="20" t="str">
        <x:v>Total</x:v>
      </x:c>
      <x:c r="C5" s="20" t="str">
        <x:v>Executed</x:v>
      </x:c>
      <x:c r="D5" s="20" t="str">
        <x:v>Passed</x:v>
      </x:c>
      <x:c r="E5" s="20" t="str">
        <x:v>Failed</x:v>
      </x:c>
      <x:c r="F5" s="20" t="str">
        <x:v>Blocked</x:v>
      </x:c>
      <x:c r="G5" s="20" t="str">
        <x:v>N/A</x:v>
      </x:c>
      <x:c r="H5" s="20" t="str">
        <x:v>Execution %</x:v>
      </x:c>
      <x:c r="I5" s="20" t="str">
        <x:v>Pass %</x:v>
      </x:c>
      <x:c r="J5" s="20" t="str">
        <x:v>Gate Cases</x:v>
      </x:c>
      <x:c r="K5" s="20" t="str">
        <x:v>Gate Evidence</x:v>
      </x:c>
      <x:c r="L5" s="20" t="str">
        <x:v>Evidence %</x:v>
      </x:c>
      <x:c r="M5" s="21" t="str">
        <x:v>Open C/H</x:v>
      </x:c>
    </x:row>
    <x:row r="6">
      <x:c r="A6" s="31" t="str">
        <x:v>Level 1</x:v>
      </x:c>
      <x:c r="B6" s="32" t="n">
        <x:f>COUNTIF('Test Cases'!$B$6:$B$309,A6)</x:f>
        <x:v>26</x:v>
      </x:c>
      <x:c r="C6" s="32" t="n">
        <x:f>SUMIF('Test Cases'!$B$6:$B$309,A6,'Test Cases'!$AA$6:$AA$309)</x:f>
        <x:v>0</x:v>
      </x:c>
      <x:c r="D6" s="32" t="n">
        <x:f>SUMIF('Test Cases'!$B$6:$B$309,A6,'Test Cases'!$AB$6:$AB$309)</x:f>
        <x:v>0</x:v>
      </x:c>
      <x:c r="E6" s="32" t="n">
        <x:f>COUNTIFS('Test Cases'!$B$6:$B$309,A6,'Test Cases'!$O$6:$O$309,"Failed")</x:f>
        <x:v>0</x:v>
      </x:c>
      <x:c r="F6" s="32" t="n">
        <x:f>COUNTIFS('Test Cases'!$B$6:$B$309,A6,'Test Cases'!$O$6:$O$309,"Blocked")</x:f>
        <x:v>0</x:v>
      </x:c>
      <x:c r="G6" s="32" t="n">
        <x:f>COUNTIFS('Test Cases'!$B$6:$B$309,A6,'Test Cases'!$O$6:$O$309,"N/A")</x:f>
        <x:v>0</x:v>
      </x:c>
      <x:c r="H6" s="33" t="n">
        <x:f>IFERROR(C6/(B6-G6),0)</x:f>
        <x:v>0</x:v>
      </x:c>
      <x:c r="I6" s="33" t="n">
        <x:f>IFERROR(D6/C6,0)</x:f>
        <x:v>0</x:v>
      </x:c>
      <x:c r="J6" s="32" t="n">
        <x:f>COUNTIFS('Test Cases'!$B$6:$B$309,A6,'Test Cases'!$I$6:$I$309,"Yes")</x:f>
        <x:v>26</x:v>
      </x:c>
      <x:c r="K6" s="32" t="n">
        <x:f>SUMIFS('Test Cases'!$AD$6:$AD$309,'Test Cases'!$B$6:$B$309,A6,'Test Cases'!$I$6:$I$309,"Yes")</x:f>
        <x:v>0</x:v>
      </x:c>
      <x:c r="L6" s="33" t="n">
        <x:f>IFERROR(K6/J6,0)</x:f>
        <x:v>0</x:v>
      </x:c>
      <x:c r="M6" s="34" t="n">
        <x:f>SUMIF('Test Cases'!$B$6:$B$309,A6,'Test Cases'!$AC$6:$AC$309)</x:f>
        <x:v>0</x:v>
      </x:c>
    </x:row>
    <x:row r="7">
      <x:c r="A7" s="35" t="str">
        <x:v>Level 2</x:v>
      </x:c>
      <x:c r="B7" s="36" t="n">
        <x:f>COUNTIF('Test Cases'!$B$6:$B$309,A7)</x:f>
        <x:v>178</x:v>
      </x:c>
      <x:c r="C7" s="36" t="n">
        <x:f>SUMIF('Test Cases'!$B$6:$B$309,A7,'Test Cases'!$AA$6:$AA$309)</x:f>
        <x:v>0</x:v>
      </x:c>
      <x:c r="D7" s="36" t="n">
        <x:f>SUMIF('Test Cases'!$B$6:$B$309,A7,'Test Cases'!$AB$6:$AB$309)</x:f>
        <x:v>0</x:v>
      </x:c>
      <x:c r="E7" s="36" t="n">
        <x:f>COUNTIFS('Test Cases'!$B$6:$B$309,A7,'Test Cases'!$O$6:$O$309,"Failed")</x:f>
        <x:v>0</x:v>
      </x:c>
      <x:c r="F7" s="36" t="n">
        <x:f>COUNTIFS('Test Cases'!$B$6:$B$309,A7,'Test Cases'!$O$6:$O$309,"Blocked")</x:f>
        <x:v>0</x:v>
      </x:c>
      <x:c r="G7" s="36" t="n">
        <x:f>COUNTIFS('Test Cases'!$B$6:$B$309,A7,'Test Cases'!$O$6:$O$309,"N/A")</x:f>
        <x:v>0</x:v>
      </x:c>
      <x:c r="H7" s="37" t="n">
        <x:f>IFERROR(C7/(B7-G7),0)</x:f>
        <x:v>0</x:v>
      </x:c>
      <x:c r="I7" s="37" t="n">
        <x:f>IFERROR(D7/C7,0)</x:f>
        <x:v>0</x:v>
      </x:c>
      <x:c r="J7" s="36" t="n">
        <x:f>COUNTIFS('Test Cases'!$B$6:$B$309,A7,'Test Cases'!$I$6:$I$309,"Yes")</x:f>
        <x:v>22</x:v>
      </x:c>
      <x:c r="K7" s="36" t="n">
        <x:f>SUMIFS('Test Cases'!$AD$6:$AD$309,'Test Cases'!$B$6:$B$309,A7,'Test Cases'!$I$6:$I$309,"Yes")</x:f>
        <x:v>0</x:v>
      </x:c>
      <x:c r="L7" s="37" t="n">
        <x:f>IFERROR(K7/J7,0)</x:f>
        <x:v>0</x:v>
      </x:c>
      <x:c r="M7" s="38" t="n">
        <x:f>SUMIF('Test Cases'!$B$6:$B$309,A7,'Test Cases'!$AC$6:$AC$309)</x:f>
        <x:v>0</x:v>
      </x:c>
    </x:row>
    <x:row r="8">
      <x:c r="A8" s="39" t="str">
        <x:v>Level 3</x:v>
      </x:c>
      <x:c r="B8" s="40" t="n">
        <x:f>COUNTIF('Test Cases'!$B$6:$B$309,A8)</x:f>
        <x:v>100</x:v>
      </x:c>
      <x:c r="C8" s="40" t="n">
        <x:f>SUMIF('Test Cases'!$B$6:$B$309,A8,'Test Cases'!$AA$6:$AA$309)</x:f>
        <x:v>0</x:v>
      </x:c>
      <x:c r="D8" s="40" t="n">
        <x:f>SUMIF('Test Cases'!$B$6:$B$309,A8,'Test Cases'!$AB$6:$AB$309)</x:f>
        <x:v>0</x:v>
      </x:c>
      <x:c r="E8" s="40" t="n">
        <x:f>COUNTIFS('Test Cases'!$B$6:$B$309,A8,'Test Cases'!$O$6:$O$309,"Failed")</x:f>
        <x:v>0</x:v>
      </x:c>
      <x:c r="F8" s="40" t="n">
        <x:f>COUNTIFS('Test Cases'!$B$6:$B$309,A8,'Test Cases'!$O$6:$O$309,"Blocked")</x:f>
        <x:v>0</x:v>
      </x:c>
      <x:c r="G8" s="40" t="n">
        <x:f>COUNTIFS('Test Cases'!$B$6:$B$309,A8,'Test Cases'!$O$6:$O$309,"N/A")</x:f>
        <x:v>0</x:v>
      </x:c>
      <x:c r="H8" s="41" t="n">
        <x:f>IFERROR(C8/(B8-G8),0)</x:f>
        <x:v>0</x:v>
      </x:c>
      <x:c r="I8" s="41" t="n">
        <x:f>IFERROR(D8/C8,0)</x:f>
        <x:v>0</x:v>
      </x:c>
      <x:c r="J8" s="40" t="n">
        <x:f>COUNTIFS('Test Cases'!$B$6:$B$309,A8,'Test Cases'!$I$6:$I$309,"Yes")</x:f>
        <x:v>100</x:v>
      </x:c>
      <x:c r="K8" s="40" t="n">
        <x:f>SUMIFS('Test Cases'!$AD$6:$AD$309,'Test Cases'!$B$6:$B$309,A8,'Test Cases'!$I$6:$I$309,"Yes")</x:f>
        <x:v>0</x:v>
      </x:c>
      <x:c r="L8" s="41" t="n">
        <x:f>IFERROR(K8/J8,0)</x:f>
        <x:v>0</x:v>
      </x:c>
      <x:c r="M8" s="42" t="n">
        <x:f>SUMIF('Test Cases'!$B$6:$B$309,A8,'Test Cases'!$AC$6:$AC$309)</x:f>
        <x:v>0</x:v>
      </x:c>
    </x:row>
  </x:sheetData>
  <x:mergeCells>
    <x:mergeCell ref="A1:M1"/>
    <x:mergeCell ref="A2:H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s>
  <x:sheetData>
    <x:row r="1" ht="34" customHeight="1">
      <x:c r="A1" s="4" t="str">
        <x:v>MODULE SUMMARY</x:v>
      </x:c>
      <x:c r="B1" s="4" t="str">
        <x:v>MODULE SUMMARY</x:v>
      </x:c>
      <x:c r="C1" s="4" t="str">
        <x:v>MODULE SUMMARY</x:v>
      </x:c>
      <x:c r="D1" s="4" t="str">
        <x:v>MODULE SUMMARY</x:v>
      </x:c>
      <x:c r="E1" s="4" t="str">
        <x:v>MODULE SUMMARY</x:v>
      </x:c>
      <x:c r="F1" s="4" t="str">
        <x:v>MODULE SUMMARY</x:v>
      </x:c>
      <x:c r="G1" s="4" t="str">
        <x:v>MODULE SUMMARY</x:v>
      </x:c>
      <x:c r="H1" s="4" t="str">
        <x:v>MODULE SUMMARY</x:v>
      </x:c>
      <x:c r="I1" s="4" t="str">
        <x:v>MODULE SUMMARY</x:v>
      </x:c>
    </x:row>
    <x:row r="2" ht="28" customHeight="1">
      <x:c r="A2" s="7" t="str">
        <x:v>Use this sheet to find modules with low execution, failures, blockers or gaps.</x:v>
      </x:c>
      <x:c r="B2" s="7" t="str">
        <x:v>Use this sheet to find modules with low execution, failures, blockers or gaps.</x:v>
      </x:c>
      <x:c r="C2" s="7" t="str">
        <x:v>Use this sheet to find modules with low execution, failures, blockers or gaps.</x:v>
      </x:c>
      <x:c r="D2" s="7" t="str">
        <x:v>Use this sheet to find modules with low execution, failures, blockers or gaps.</x:v>
      </x:c>
      <x:c r="E2" s="7" t="str">
        <x:v>Use this sheet to find modules with low execution, failures, blockers or gaps.</x:v>
      </x:c>
      <x:c r="F2" s="7" t="str">
        <x:v>Use this sheet to find modules with low execution, failures, blockers or gaps.</x:v>
      </x:c>
      <x:c r="G2" s="7" t="str">
        <x:v>Use this sheet to find modules with low execution, failures, blockers or gaps.</x:v>
      </x:c>
      <x:c r="H2" s="7" t="str">
        <x:v>Use this sheet to find modules with low execution, failures, blockers or gaps.</x:v>
      </x:c>
    </x:row>
    <x:row r="5" ht="30" customHeight="1">
      <x:c r="A5" s="19" t="str">
        <x:v>Module</x:v>
      </x:c>
      <x:c r="B5" s="20" t="str">
        <x:v>Total</x:v>
      </x:c>
      <x:c r="C5" s="20" t="str">
        <x:v>Executed</x:v>
      </x:c>
      <x:c r="D5" s="20" t="str">
        <x:v>Passed</x:v>
      </x:c>
      <x:c r="E5" s="20" t="str">
        <x:v>Failed</x:v>
      </x:c>
      <x:c r="F5" s="20" t="str">
        <x:v>Blocked</x:v>
      </x:c>
      <x:c r="G5" s="20" t="str">
        <x:v>Execution %</x:v>
      </x:c>
      <x:c r="H5" s="20" t="str">
        <x:v>Pass %</x:v>
      </x:c>
      <x:c r="I5" s="21" t="str">
        <x:v>Gap Cases</x:v>
      </x:c>
    </x:row>
    <x:row r="6">
      <x:c r="A6" t="str">
        <x:v>Accounts</x:v>
      </x:c>
      <x:c r="B6" t="n">
        <x:f>COUNTIF('Test Cases'!$C$6:$C$309,A6)</x:f>
        <x:v>1</x:v>
      </x:c>
      <x:c r="C6" t="n">
        <x:f>SUMIF('Test Cases'!$C$6:$C$309,A6,'Test Cases'!$AA$6:$AA$309)</x:f>
        <x:v>0</x:v>
      </x:c>
      <x:c r="D6" t="n">
        <x:f>SUMIF('Test Cases'!$C$6:$C$309,A6,'Test Cases'!$AB$6:$AB$309)</x:f>
        <x:v>0</x:v>
      </x:c>
      <x:c r="E6" t="n">
        <x:f>COUNTIFS('Test Cases'!$C$6:$C$309,A6,'Test Cases'!$O$6:$O$309,"Failed")</x:f>
        <x:v>0</x:v>
      </x:c>
      <x:c r="F6" t="n">
        <x:f>COUNTIFS('Test Cases'!$C$6:$C$309,A6,'Test Cases'!$O$6:$O$309,"Blocked")</x:f>
        <x:v>0</x:v>
      </x:c>
      <x:c r="G6" s="30" t="n">
        <x:f>IFERROR(C6/B6,0)</x:f>
        <x:v>0</x:v>
      </x:c>
      <x:c r="H6" s="30" t="n">
        <x:f>IFERROR(D6/C6,0)</x:f>
        <x:v>0</x:v>
      </x:c>
      <x:c r="I6" t="n">
        <x:f>SUMIF('Test Cases'!$C$6:$C$309,A6,'Test Cases'!$AE$6:$AE$309)</x:f>
        <x:v>0</x:v>
      </x:c>
    </x:row>
    <x:row r="7">
      <x:c r="A7" t="str">
        <x:v>Accounts, Corporate &amp; Expenses</x:v>
      </x:c>
      <x:c r="B7" t="n">
        <x:f>COUNTIF('Test Cases'!$C$6:$C$309,A7)</x:f>
        <x:v>18</x:v>
      </x:c>
      <x:c r="C7" t="n">
        <x:f>SUMIF('Test Cases'!$C$6:$C$309,A7,'Test Cases'!$AA$6:$AA$309)</x:f>
        <x:v>0</x:v>
      </x:c>
      <x:c r="D7" t="n">
        <x:f>SUMIF('Test Cases'!$C$6:$C$309,A7,'Test Cases'!$AB$6:$AB$309)</x:f>
        <x:v>0</x:v>
      </x:c>
      <x:c r="E7" t="n">
        <x:f>COUNTIFS('Test Cases'!$C$6:$C$309,A7,'Test Cases'!$O$6:$O$309,"Failed")</x:f>
        <x:v>0</x:v>
      </x:c>
      <x:c r="F7" t="n">
        <x:f>COUNTIFS('Test Cases'!$C$6:$C$309,A7,'Test Cases'!$O$6:$O$309,"Blocked")</x:f>
        <x:v>0</x:v>
      </x:c>
      <x:c r="G7" s="30" t="n">
        <x:f>IFERROR(C7/B7,0)</x:f>
        <x:v>0</x:v>
      </x:c>
      <x:c r="H7" s="30" t="n">
        <x:f>IFERROR(D7/C7,0)</x:f>
        <x:v>0</x:v>
      </x:c>
      <x:c r="I7" t="n">
        <x:f>SUMIF('Test Cases'!$C$6:$C$309,A7,'Test Cases'!$AE$6:$AE$309)</x:f>
        <x:v>7</x:v>
      </x:c>
    </x:row>
    <x:row r="8">
      <x:c r="A8" t="str">
        <x:v>Audit</x:v>
      </x:c>
      <x:c r="B8" t="n">
        <x:f>COUNTIF('Test Cases'!$C$6:$C$309,A8)</x:f>
        <x:v>1</x:v>
      </x:c>
      <x:c r="C8" t="n">
        <x:f>SUMIF('Test Cases'!$C$6:$C$309,A8,'Test Cases'!$AA$6:$AA$309)</x:f>
        <x:v>0</x:v>
      </x:c>
      <x:c r="D8" t="n">
        <x:f>SUMIF('Test Cases'!$C$6:$C$309,A8,'Test Cases'!$AB$6:$AB$309)</x:f>
        <x:v>0</x:v>
      </x:c>
      <x:c r="E8" t="n">
        <x:f>COUNTIFS('Test Cases'!$C$6:$C$309,A8,'Test Cases'!$O$6:$O$309,"Failed")</x:f>
        <x:v>0</x:v>
      </x:c>
      <x:c r="F8" t="n">
        <x:f>COUNTIFS('Test Cases'!$C$6:$C$309,A8,'Test Cases'!$O$6:$O$309,"Blocked")</x:f>
        <x:v>0</x:v>
      </x:c>
      <x:c r="G8" s="30" t="n">
        <x:f>IFERROR(C8/B8,0)</x:f>
        <x:v>0</x:v>
      </x:c>
      <x:c r="H8" s="30" t="n">
        <x:f>IFERROR(D8/C8,0)</x:f>
        <x:v>0</x:v>
      </x:c>
      <x:c r="I8" t="n">
        <x:f>SUMIF('Test Cases'!$C$6:$C$309,A8,'Test Cases'!$AE$6:$AE$309)</x:f>
        <x:v>1</x:v>
      </x:c>
    </x:row>
    <x:row r="9">
      <x:c r="A9" t="str">
        <x:v>Authentication &amp; Session</x:v>
      </x:c>
      <x:c r="B9" t="n">
        <x:f>COUNTIF('Test Cases'!$C$6:$C$309,A9)</x:f>
        <x:v>10</x:v>
      </x:c>
      <x:c r="C9" t="n">
        <x:f>SUMIF('Test Cases'!$C$6:$C$309,A9,'Test Cases'!$AA$6:$AA$309)</x:f>
        <x:v>0</x:v>
      </x:c>
      <x:c r="D9" t="n">
        <x:f>SUMIF('Test Cases'!$C$6:$C$309,A9,'Test Cases'!$AB$6:$AB$309)</x:f>
        <x:v>0</x:v>
      </x:c>
      <x:c r="E9" t="n">
        <x:f>COUNTIFS('Test Cases'!$C$6:$C$309,A9,'Test Cases'!$O$6:$O$309,"Failed")</x:f>
        <x:v>0</x:v>
      </x:c>
      <x:c r="F9" t="n">
        <x:f>COUNTIFS('Test Cases'!$C$6:$C$309,A9,'Test Cases'!$O$6:$O$309,"Blocked")</x:f>
        <x:v>0</x:v>
      </x:c>
      <x:c r="G9" s="30" t="n">
        <x:f>IFERROR(C9/B9,0)</x:f>
        <x:v>0</x:v>
      </x:c>
      <x:c r="H9" s="30" t="n">
        <x:f>IFERROR(D9/C9,0)</x:f>
        <x:v>0</x:v>
      </x:c>
      <x:c r="I9" t="n">
        <x:f>SUMIF('Test Cases'!$C$6:$C$309,A9,'Test Cases'!$AE$6:$AE$309)</x:f>
        <x:v>0</x:v>
      </x:c>
    </x:row>
    <x:row r="10">
      <x:c r="A10" t="str">
        <x:v>Billing</x:v>
      </x:c>
      <x:c r="B10" t="n">
        <x:f>COUNTIF('Test Cases'!$C$6:$C$309,A10)</x:f>
        <x:v>3</x:v>
      </x:c>
      <x:c r="C10" t="n">
        <x:f>SUMIF('Test Cases'!$C$6:$C$309,A10,'Test Cases'!$AA$6:$AA$309)</x:f>
        <x:v>0</x:v>
      </x:c>
      <x:c r="D10" t="n">
        <x:f>SUMIF('Test Cases'!$C$6:$C$309,A10,'Test Cases'!$AB$6:$AB$309)</x:f>
        <x:v>0</x:v>
      </x:c>
      <x:c r="E10" t="n">
        <x:f>COUNTIFS('Test Cases'!$C$6:$C$309,A10,'Test Cases'!$O$6:$O$309,"Failed")</x:f>
        <x:v>0</x:v>
      </x:c>
      <x:c r="F10" t="n">
        <x:f>COUNTIFS('Test Cases'!$C$6:$C$309,A10,'Test Cases'!$O$6:$O$309,"Blocked")</x:f>
        <x:v>0</x:v>
      </x:c>
      <x:c r="G10" s="30" t="n">
        <x:f>IFERROR(C10/B10,0)</x:f>
        <x:v>0</x:v>
      </x:c>
      <x:c r="H10" s="30" t="n">
        <x:f>IFERROR(D10/C10,0)</x:f>
        <x:v>0</x:v>
      </x:c>
      <x:c r="I10" t="n">
        <x:f>SUMIF('Test Cases'!$C$6:$C$309,A10,'Test Cases'!$AE$6:$AE$309)</x:f>
        <x:v>0</x:v>
      </x:c>
    </x:row>
    <x:row r="11">
      <x:c r="A11" t="str">
        <x:v>Billing &amp; Payments</x:v>
      </x:c>
      <x:c r="B11" t="n">
        <x:f>COUNTIF('Test Cases'!$C$6:$C$309,A11)</x:f>
        <x:v>18</x:v>
      </x:c>
      <x:c r="C11" t="n">
        <x:f>SUMIF('Test Cases'!$C$6:$C$309,A11,'Test Cases'!$AA$6:$AA$309)</x:f>
        <x:v>0</x:v>
      </x:c>
      <x:c r="D11" t="n">
        <x:f>SUMIF('Test Cases'!$C$6:$C$309,A11,'Test Cases'!$AB$6:$AB$309)</x:f>
        <x:v>0</x:v>
      </x:c>
      <x:c r="E11" t="n">
        <x:f>COUNTIFS('Test Cases'!$C$6:$C$309,A11,'Test Cases'!$O$6:$O$309,"Failed")</x:f>
        <x:v>0</x:v>
      </x:c>
      <x:c r="F11" t="n">
        <x:f>COUNTIFS('Test Cases'!$C$6:$C$309,A11,'Test Cases'!$O$6:$O$309,"Blocked")</x:f>
        <x:v>0</x:v>
      </x:c>
      <x:c r="G11" s="30" t="n">
        <x:f>IFERROR(C11/B11,0)</x:f>
        <x:v>0</x:v>
      </x:c>
      <x:c r="H11" s="30" t="n">
        <x:f>IFERROR(D11/C11,0)</x:f>
        <x:v>0</x:v>
      </x:c>
      <x:c r="I11" t="n">
        <x:f>SUMIF('Test Cases'!$C$6:$C$309,A11,'Test Cases'!$AE$6:$AE$309)</x:f>
        <x:v>4</x:v>
      </x:c>
    </x:row>
    <x:row r="12">
      <x:c r="A12" t="str">
        <x:v>Clinical &amp; Financial Integrity</x:v>
      </x:c>
      <x:c r="B12" t="n">
        <x:f>COUNTIF('Test Cases'!$C$6:$C$309,A12)</x:f>
        <x:v>12</x:v>
      </x:c>
      <x:c r="C12" t="n">
        <x:f>SUMIF('Test Cases'!$C$6:$C$309,A12,'Test Cases'!$AA$6:$AA$309)</x:f>
        <x:v>0</x:v>
      </x:c>
      <x:c r="D12" t="n">
        <x:f>SUMIF('Test Cases'!$C$6:$C$309,A12,'Test Cases'!$AB$6:$AB$309)</x:f>
        <x:v>0</x:v>
      </x:c>
      <x:c r="E12" t="n">
        <x:f>COUNTIFS('Test Cases'!$C$6:$C$309,A12,'Test Cases'!$O$6:$O$309,"Failed")</x:f>
        <x:v>0</x:v>
      </x:c>
      <x:c r="F12" t="n">
        <x:f>COUNTIFS('Test Cases'!$C$6:$C$309,A12,'Test Cases'!$O$6:$O$309,"Blocked")</x:f>
        <x:v>0</x:v>
      </x:c>
      <x:c r="G12" s="30" t="n">
        <x:f>IFERROR(C12/B12,0)</x:f>
        <x:v>0</x:v>
      </x:c>
      <x:c r="H12" s="30" t="n">
        <x:f>IFERROR(D12/C12,0)</x:f>
        <x:v>0</x:v>
      </x:c>
      <x:c r="I12" t="n">
        <x:f>SUMIF('Test Cases'!$C$6:$C$309,A12,'Test Cases'!$AE$6:$AE$309)</x:f>
        <x:v>0</x:v>
      </x:c>
    </x:row>
    <x:row r="13">
      <x:c r="A13" t="str">
        <x:v>Compatibility &amp; Accessibility</x:v>
      </x:c>
      <x:c r="B13" t="n">
        <x:f>COUNTIF('Test Cases'!$C$6:$C$309,A13)</x:f>
        <x:v>12</x:v>
      </x:c>
      <x:c r="C13" t="n">
        <x:f>SUMIF('Test Cases'!$C$6:$C$309,A13,'Test Cases'!$AA$6:$AA$309)</x:f>
        <x:v>0</x:v>
      </x:c>
      <x:c r="D13" t="n">
        <x:f>SUMIF('Test Cases'!$C$6:$C$309,A13,'Test Cases'!$AB$6:$AB$309)</x:f>
        <x:v>0</x:v>
      </x:c>
      <x:c r="E13" t="n">
        <x:f>COUNTIFS('Test Cases'!$C$6:$C$309,A13,'Test Cases'!$O$6:$O$309,"Failed")</x:f>
        <x:v>0</x:v>
      </x:c>
      <x:c r="F13" t="n">
        <x:f>COUNTIFS('Test Cases'!$C$6:$C$309,A13,'Test Cases'!$O$6:$O$309,"Blocked")</x:f>
        <x:v>0</x:v>
      </x:c>
      <x:c r="G13" s="30" t="n">
        <x:f>IFERROR(C13/B13,0)</x:f>
        <x:v>0</x:v>
      </x:c>
      <x:c r="H13" s="30" t="n">
        <x:f>IFERROR(D13/C13,0)</x:f>
        <x:v>0</x:v>
      </x:c>
      <x:c r="I13" t="n">
        <x:f>SUMIF('Test Cases'!$C$6:$C$309,A13,'Test Cases'!$AE$6:$AE$309)</x:f>
        <x:v>0</x:v>
      </x:c>
    </x:row>
    <x:row r="14">
      <x:c r="A14" t="str">
        <x:v>Dashboard, Search, Notifications &amp; Analytics</x:v>
      </x:c>
      <x:c r="B14" t="n">
        <x:f>COUNTIF('Test Cases'!$C$6:$C$309,A14)</x:f>
        <x:v>12</x:v>
      </x:c>
      <x:c r="C14" t="n">
        <x:f>SUMIF('Test Cases'!$C$6:$C$309,A14,'Test Cases'!$AA$6:$AA$309)</x:f>
        <x:v>0</x:v>
      </x:c>
      <x:c r="D14" t="n">
        <x:f>SUMIF('Test Cases'!$C$6:$C$309,A14,'Test Cases'!$AB$6:$AB$309)</x:f>
        <x:v>0</x:v>
      </x:c>
      <x:c r="E14" t="n">
        <x:f>COUNTIFS('Test Cases'!$C$6:$C$309,A14,'Test Cases'!$O$6:$O$309,"Failed")</x:f>
        <x:v>0</x:v>
      </x:c>
      <x:c r="F14" t="n">
        <x:f>COUNTIFS('Test Cases'!$C$6:$C$309,A14,'Test Cases'!$O$6:$O$309,"Blocked")</x:f>
        <x:v>0</x:v>
      </x:c>
      <x:c r="G14" s="30" t="n">
        <x:f>IFERROR(C14/B14,0)</x:f>
        <x:v>0</x:v>
      </x:c>
      <x:c r="H14" s="30" t="n">
        <x:f>IFERROR(D14/C14,0)</x:f>
        <x:v>0</x:v>
      </x:c>
      <x:c r="I14" t="n">
        <x:f>SUMIF('Test Cases'!$C$6:$C$309,A14,'Test Cases'!$AE$6:$AE$309)</x:f>
        <x:v>4</x:v>
      </x:c>
    </x:row>
    <x:row r="15">
      <x:c r="A15" t="str">
        <x:v>Developer, Subscription &amp; Tenant</x:v>
      </x:c>
      <x:c r="B15" t="n">
        <x:f>COUNTIF('Test Cases'!$C$6:$C$309,A15)</x:f>
        <x:v>10</x:v>
      </x:c>
      <x:c r="C15" t="n">
        <x:f>SUMIF('Test Cases'!$C$6:$C$309,A15,'Test Cases'!$AA$6:$AA$309)</x:f>
        <x:v>0</x:v>
      </x:c>
      <x:c r="D15" t="n">
        <x:f>SUMIF('Test Cases'!$C$6:$C$309,A15,'Test Cases'!$AB$6:$AB$309)</x:f>
        <x:v>0</x:v>
      </x:c>
      <x:c r="E15" t="n">
        <x:f>COUNTIFS('Test Cases'!$C$6:$C$309,A15,'Test Cases'!$O$6:$O$309,"Failed")</x:f>
        <x:v>0</x:v>
      </x:c>
      <x:c r="F15" t="n">
        <x:f>COUNTIFS('Test Cases'!$C$6:$C$309,A15,'Test Cases'!$O$6:$O$309,"Blocked")</x:f>
        <x:v>0</x:v>
      </x:c>
      <x:c r="G15" s="30" t="n">
        <x:f>IFERROR(C15/B15,0)</x:f>
        <x:v>0</x:v>
      </x:c>
      <x:c r="H15" s="30" t="n">
        <x:f>IFERROR(D15/C15,0)</x:f>
        <x:v>0</x:v>
      </x:c>
      <x:c r="I15" t="n">
        <x:f>SUMIF('Test Cases'!$C$6:$C$309,A15,'Test Cases'!$AE$6:$AE$309)</x:f>
        <x:v>2</x:v>
      </x:c>
    </x:row>
    <x:row r="16">
      <x:c r="A16" t="str">
        <x:v>Doctor &amp; Patient Portals</x:v>
      </x:c>
      <x:c r="B16" t="n">
        <x:f>COUNTIF('Test Cases'!$C$6:$C$309,A16)</x:f>
        <x:v>14</x:v>
      </x:c>
      <x:c r="C16" t="n">
        <x:f>SUMIF('Test Cases'!$C$6:$C$309,A16,'Test Cases'!$AA$6:$AA$309)</x:f>
        <x:v>0</x:v>
      </x:c>
      <x:c r="D16" t="n">
        <x:f>SUMIF('Test Cases'!$C$6:$C$309,A16,'Test Cases'!$AB$6:$AB$309)</x:f>
        <x:v>0</x:v>
      </x:c>
      <x:c r="E16" t="n">
        <x:f>COUNTIFS('Test Cases'!$C$6:$C$309,A16,'Test Cases'!$O$6:$O$309,"Failed")</x:f>
        <x:v>0</x:v>
      </x:c>
      <x:c r="F16" t="n">
        <x:f>COUNTIFS('Test Cases'!$C$6:$C$309,A16,'Test Cases'!$O$6:$O$309,"Blocked")</x:f>
        <x:v>0</x:v>
      </x:c>
      <x:c r="G16" s="30" t="n">
        <x:f>IFERROR(C16/B16,0)</x:f>
        <x:v>0</x:v>
      </x:c>
      <x:c r="H16" s="30" t="n">
        <x:f>IFERROR(D16/C16,0)</x:f>
        <x:v>0</x:v>
      </x:c>
      <x:c r="I16" t="n">
        <x:f>SUMIF('Test Cases'!$C$6:$C$309,A16,'Test Cases'!$AE$6:$AE$309)</x:f>
        <x:v>1</x:v>
      </x:c>
    </x:row>
    <x:row r="17">
      <x:c r="A17" t="str">
        <x:v>Doctor Portal</x:v>
      </x:c>
      <x:c r="B17" t="n">
        <x:f>COUNTIF('Test Cases'!$C$6:$C$309,A17)</x:f>
        <x:v>1</x:v>
      </x:c>
      <x:c r="C17" t="n">
        <x:f>SUMIF('Test Cases'!$C$6:$C$309,A17,'Test Cases'!$AA$6:$AA$309)</x:f>
        <x:v>0</x:v>
      </x:c>
      <x:c r="D17" t="n">
        <x:f>SUMIF('Test Cases'!$C$6:$C$309,A17,'Test Cases'!$AB$6:$AB$309)</x:f>
        <x:v>0</x:v>
      </x:c>
      <x:c r="E17" t="n">
        <x:f>COUNTIFS('Test Cases'!$C$6:$C$309,A17,'Test Cases'!$O$6:$O$309,"Failed")</x:f>
        <x:v>0</x:v>
      </x:c>
      <x:c r="F17" t="n">
        <x:f>COUNTIFS('Test Cases'!$C$6:$C$309,A17,'Test Cases'!$O$6:$O$309,"Blocked")</x:f>
        <x:v>0</x:v>
      </x:c>
      <x:c r="G17" s="30" t="n">
        <x:f>IFERROR(C17/B17,0)</x:f>
        <x:v>0</x:v>
      </x:c>
      <x:c r="H17" s="30" t="n">
        <x:f>IFERROR(D17/C17,0)</x:f>
        <x:v>0</x:v>
      </x:c>
      <x:c r="I17" t="n">
        <x:f>SUMIF('Test Cases'!$C$6:$C$309,A17,'Test Cases'!$AE$6:$AE$309)</x:f>
        <x:v>0</x:v>
      </x:c>
    </x:row>
    <x:row r="18">
      <x:c r="A18" t="str">
        <x:v>Doctors</x:v>
      </x:c>
      <x:c r="B18" t="n">
        <x:f>COUNTIF('Test Cases'!$C$6:$C$309,A18)</x:f>
        <x:v>1</x:v>
      </x:c>
      <x:c r="C18" t="n">
        <x:f>SUMIF('Test Cases'!$C$6:$C$309,A18,'Test Cases'!$AA$6:$AA$309)</x:f>
        <x:v>0</x:v>
      </x:c>
      <x:c r="D18" t="n">
        <x:f>SUMIF('Test Cases'!$C$6:$C$309,A18,'Test Cases'!$AB$6:$AB$309)</x:f>
        <x:v>0</x:v>
      </x:c>
      <x:c r="E18" t="n">
        <x:f>COUNTIFS('Test Cases'!$C$6:$C$309,A18,'Test Cases'!$O$6:$O$309,"Failed")</x:f>
        <x:v>0</x:v>
      </x:c>
      <x:c r="F18" t="n">
        <x:f>COUNTIFS('Test Cases'!$C$6:$C$309,A18,'Test Cases'!$O$6:$O$309,"Blocked")</x:f>
        <x:v>0</x:v>
      </x:c>
      <x:c r="G18" s="30" t="n">
        <x:f>IFERROR(C18/B18,0)</x:f>
        <x:v>0</x:v>
      </x:c>
      <x:c r="H18" s="30" t="n">
        <x:f>IFERROR(D18/C18,0)</x:f>
        <x:v>0</x:v>
      </x:c>
      <x:c r="I18" t="n">
        <x:f>SUMIF('Test Cases'!$C$6:$C$309,A18,'Test Cases'!$AE$6:$AE$309)</x:f>
        <x:v>0</x:v>
      </x:c>
    </x:row>
    <x:row r="19">
      <x:c r="A19" t="str">
        <x:v>Doctors &amp; Commission</x:v>
      </x:c>
      <x:c r="B19" t="n">
        <x:f>COUNTIF('Test Cases'!$C$6:$C$309,A19)</x:f>
        <x:v>12</x:v>
      </x:c>
      <x:c r="C19" t="n">
        <x:f>SUMIF('Test Cases'!$C$6:$C$309,A19,'Test Cases'!$AA$6:$AA$309)</x:f>
        <x:v>0</x:v>
      </x:c>
      <x:c r="D19" t="n">
        <x:f>SUMIF('Test Cases'!$C$6:$C$309,A19,'Test Cases'!$AB$6:$AB$309)</x:f>
        <x:v>0</x:v>
      </x:c>
      <x:c r="E19" t="n">
        <x:f>COUNTIFS('Test Cases'!$C$6:$C$309,A19,'Test Cases'!$O$6:$O$309,"Failed")</x:f>
        <x:v>0</x:v>
      </x:c>
      <x:c r="F19" t="n">
        <x:f>COUNTIFS('Test Cases'!$C$6:$C$309,A19,'Test Cases'!$O$6:$O$309,"Blocked")</x:f>
        <x:v>0</x:v>
      </x:c>
      <x:c r="G19" s="30" t="n">
        <x:f>IFERROR(C19/B19,0)</x:f>
        <x:v>0</x:v>
      </x:c>
      <x:c r="H19" s="30" t="n">
        <x:f>IFERROR(D19/C19,0)</x:f>
        <x:v>0</x:v>
      </x:c>
      <x:c r="I19" t="n">
        <x:f>SUMIF('Test Cases'!$C$6:$C$309,A19,'Test Cases'!$AE$6:$AE$309)</x:f>
        <x:v>3</x:v>
      </x:c>
    </x:row>
    <x:row r="20">
      <x:c r="A20" t="str">
        <x:v>Inventory</x:v>
      </x:c>
      <x:c r="B20" t="n">
        <x:f>COUNTIF('Test Cases'!$C$6:$C$309,A20)</x:f>
        <x:v>18</x:v>
      </x:c>
      <x:c r="C20" t="n">
        <x:f>SUMIF('Test Cases'!$C$6:$C$309,A20,'Test Cases'!$AA$6:$AA$309)</x:f>
        <x:v>0</x:v>
      </x:c>
      <x:c r="D20" t="n">
        <x:f>SUMIF('Test Cases'!$C$6:$C$309,A20,'Test Cases'!$AB$6:$AB$309)</x:f>
        <x:v>0</x:v>
      </x:c>
      <x:c r="E20" t="n">
        <x:f>COUNTIFS('Test Cases'!$C$6:$C$309,A20,'Test Cases'!$O$6:$O$309,"Failed")</x:f>
        <x:v>0</x:v>
      </x:c>
      <x:c r="F20" t="n">
        <x:f>COUNTIFS('Test Cases'!$C$6:$C$309,A20,'Test Cases'!$O$6:$O$309,"Blocked")</x:f>
        <x:v>0</x:v>
      </x:c>
      <x:c r="G20" s="30" t="n">
        <x:f>IFERROR(C20/B20,0)</x:f>
        <x:v>0</x:v>
      </x:c>
      <x:c r="H20" s="30" t="n">
        <x:f>IFERROR(D20/C20,0)</x:f>
        <x:v>0</x:v>
      </x:c>
      <x:c r="I20" t="n">
        <x:f>SUMIF('Test Cases'!$C$6:$C$309,A20,'Test Cases'!$AE$6:$AE$309)</x:f>
        <x:v>8</x:v>
      </x:c>
    </x:row>
    <x:row r="21">
      <x:c r="A21" t="str">
        <x:v>Notifications</x:v>
      </x:c>
      <x:c r="B21" t="n">
        <x:f>COUNTIF('Test Cases'!$C$6:$C$309,A21)</x:f>
        <x:v>1</x:v>
      </x:c>
      <x:c r="C21" t="n">
        <x:f>SUMIF('Test Cases'!$C$6:$C$309,A21,'Test Cases'!$AA$6:$AA$309)</x:f>
        <x:v>0</x:v>
      </x:c>
      <x:c r="D21" t="n">
        <x:f>SUMIF('Test Cases'!$C$6:$C$309,A21,'Test Cases'!$AB$6:$AB$309)</x:f>
        <x:v>0</x:v>
      </x:c>
      <x:c r="E21" t="n">
        <x:f>COUNTIFS('Test Cases'!$C$6:$C$309,A21,'Test Cases'!$O$6:$O$309,"Failed")</x:f>
        <x:v>0</x:v>
      </x:c>
      <x:c r="F21" t="n">
        <x:f>COUNTIFS('Test Cases'!$C$6:$C$309,A21,'Test Cases'!$O$6:$O$309,"Blocked")</x:f>
        <x:v>0</x:v>
      </x:c>
      <x:c r="G21" s="30" t="n">
        <x:f>IFERROR(C21/B21,0)</x:f>
        <x:v>0</x:v>
      </x:c>
      <x:c r="H21" s="30" t="n">
        <x:f>IFERROR(D21/C21,0)</x:f>
        <x:v>0</x:v>
      </x:c>
      <x:c r="I21" t="n">
        <x:f>SUMIF('Test Cases'!$C$6:$C$309,A21,'Test Cases'!$AE$6:$AE$309)</x:f>
        <x:v>1</x:v>
      </x:c>
    </x:row>
    <x:row r="22">
      <x:c r="A22" t="str">
        <x:v>Patient Portal</x:v>
      </x:c>
      <x:c r="B22" t="n">
        <x:f>COUNTIF('Test Cases'!$C$6:$C$309,A22)</x:f>
        <x:v>2</x:v>
      </x:c>
      <x:c r="C22" t="n">
        <x:f>SUMIF('Test Cases'!$C$6:$C$309,A22,'Test Cases'!$AA$6:$AA$309)</x:f>
        <x:v>0</x:v>
      </x:c>
      <x:c r="D22" t="n">
        <x:f>SUMIF('Test Cases'!$C$6:$C$309,A22,'Test Cases'!$AB$6:$AB$309)</x:f>
        <x:v>0</x:v>
      </x:c>
      <x:c r="E22" t="n">
        <x:f>COUNTIFS('Test Cases'!$C$6:$C$309,A22,'Test Cases'!$O$6:$O$309,"Failed")</x:f>
        <x:v>0</x:v>
      </x:c>
      <x:c r="F22" t="n">
        <x:f>COUNTIFS('Test Cases'!$C$6:$C$309,A22,'Test Cases'!$O$6:$O$309,"Blocked")</x:f>
        <x:v>0</x:v>
      </x:c>
      <x:c r="G22" s="30" t="n">
        <x:f>IFERROR(C22/B22,0)</x:f>
        <x:v>0</x:v>
      </x:c>
      <x:c r="H22" s="30" t="n">
        <x:f>IFERROR(D22/C22,0)</x:f>
        <x:v>0</x:v>
      </x:c>
      <x:c r="I22" t="n">
        <x:f>SUMIF('Test Cases'!$C$6:$C$309,A22,'Test Cases'!$AE$6:$AE$309)</x:f>
        <x:v>0</x:v>
      </x:c>
    </x:row>
    <x:row r="23">
      <x:c r="A23" t="str">
        <x:v>Patients</x:v>
      </x:c>
      <x:c r="B23" t="n">
        <x:f>COUNTIF('Test Cases'!$C$6:$C$309,A23)</x:f>
        <x:v>2</x:v>
      </x:c>
      <x:c r="C23" t="n">
        <x:f>SUMIF('Test Cases'!$C$6:$C$309,A23,'Test Cases'!$AA$6:$AA$309)</x:f>
        <x:v>0</x:v>
      </x:c>
      <x:c r="D23" t="n">
        <x:f>SUMIF('Test Cases'!$C$6:$C$309,A23,'Test Cases'!$AB$6:$AB$309)</x:f>
        <x:v>0</x:v>
      </x:c>
      <x:c r="E23" t="n">
        <x:f>COUNTIFS('Test Cases'!$C$6:$C$309,A23,'Test Cases'!$O$6:$O$309,"Failed")</x:f>
        <x:v>0</x:v>
      </x:c>
      <x:c r="F23" t="n">
        <x:f>COUNTIFS('Test Cases'!$C$6:$C$309,A23,'Test Cases'!$O$6:$O$309,"Blocked")</x:f>
        <x:v>0</x:v>
      </x:c>
      <x:c r="G23" s="30" t="n">
        <x:f>IFERROR(C23/B23,0)</x:f>
        <x:v>0</x:v>
      </x:c>
      <x:c r="H23" s="30" t="n">
        <x:f>IFERROR(D23/C23,0)</x:f>
        <x:v>0</x:v>
      </x:c>
      <x:c r="I23" t="n">
        <x:f>SUMIF('Test Cases'!$C$6:$C$309,A23,'Test Cases'!$AE$6:$AE$309)</x:f>
        <x:v>0</x:v>
      </x:c>
    </x:row>
    <x:row r="24">
      <x:c r="A24" t="str">
        <x:v>Patients &amp; Visits</x:v>
      </x:c>
      <x:c r="B24" t="n">
        <x:f>COUNTIF('Test Cases'!$C$6:$C$309,A24)</x:f>
        <x:v>12</x:v>
      </x:c>
      <x:c r="C24" t="n">
        <x:f>SUMIF('Test Cases'!$C$6:$C$309,A24,'Test Cases'!$AA$6:$AA$309)</x:f>
        <x:v>0</x:v>
      </x:c>
      <x:c r="D24" t="n">
        <x:f>SUMIF('Test Cases'!$C$6:$C$309,A24,'Test Cases'!$AB$6:$AB$309)</x:f>
        <x:v>0</x:v>
      </x:c>
      <x:c r="E24" t="n">
        <x:f>COUNTIFS('Test Cases'!$C$6:$C$309,A24,'Test Cases'!$O$6:$O$309,"Failed")</x:f>
        <x:v>0</x:v>
      </x:c>
      <x:c r="F24" t="n">
        <x:f>COUNTIFS('Test Cases'!$C$6:$C$309,A24,'Test Cases'!$O$6:$O$309,"Blocked")</x:f>
        <x:v>0</x:v>
      </x:c>
      <x:c r="G24" s="30" t="n">
        <x:f>IFERROR(C24/B24,0)</x:f>
        <x:v>0</x:v>
      </x:c>
      <x:c r="H24" s="30" t="n">
        <x:f>IFERROR(D24/C24,0)</x:f>
        <x:v>0</x:v>
      </x:c>
      <x:c r="I24" t="n">
        <x:f>SUMIF('Test Cases'!$C$6:$C$309,A24,'Test Cases'!$AE$6:$AE$309)</x:f>
        <x:v>3</x:v>
      </x:c>
    </x:row>
    <x:row r="25">
      <x:c r="A25" t="str">
        <x:v>Performance &amp; Scale</x:v>
      </x:c>
      <x:c r="B25" t="n">
        <x:f>COUNTIF('Test Cases'!$C$6:$C$309,A25)</x:f>
        <x:v>12</x:v>
      </x:c>
      <x:c r="C25" t="n">
        <x:f>SUMIF('Test Cases'!$C$6:$C$309,A25,'Test Cases'!$AA$6:$AA$309)</x:f>
        <x:v>0</x:v>
      </x:c>
      <x:c r="D25" t="n">
        <x:f>SUMIF('Test Cases'!$C$6:$C$309,A25,'Test Cases'!$AB$6:$AB$309)</x:f>
        <x:v>0</x:v>
      </x:c>
      <x:c r="E25" t="n">
        <x:f>COUNTIFS('Test Cases'!$C$6:$C$309,A25,'Test Cases'!$O$6:$O$309,"Failed")</x:f>
        <x:v>0</x:v>
      </x:c>
      <x:c r="F25" t="n">
        <x:f>COUNTIFS('Test Cases'!$C$6:$C$309,A25,'Test Cases'!$O$6:$O$309,"Blocked")</x:f>
        <x:v>0</x:v>
      </x:c>
      <x:c r="G25" s="30" t="n">
        <x:f>IFERROR(C25/B25,0)</x:f>
        <x:v>0</x:v>
      </x:c>
      <x:c r="H25" s="30" t="n">
        <x:f>IFERROR(D25/C25,0)</x:f>
        <x:v>0</x:v>
      </x:c>
      <x:c r="I25" t="n">
        <x:f>SUMIF('Test Cases'!$C$6:$C$309,A25,'Test Cases'!$AE$6:$AE$309)</x:f>
        <x:v>0</x:v>
      </x:c>
    </x:row>
    <x:row r="26">
      <x:c r="A26" t="str">
        <x:v>Platform</x:v>
      </x:c>
      <x:c r="B26" t="n">
        <x:f>COUNTIF('Test Cases'!$C$6:$C$309,A26)</x:f>
        <x:v>1</x:v>
      </x:c>
      <x:c r="C26" t="n">
        <x:f>SUMIF('Test Cases'!$C$6:$C$309,A26,'Test Cases'!$AA$6:$AA$309)</x:f>
        <x:v>0</x:v>
      </x:c>
      <x:c r="D26" t="n">
        <x:f>SUMIF('Test Cases'!$C$6:$C$309,A26,'Test Cases'!$AB$6:$AB$309)</x:f>
        <x:v>0</x:v>
      </x:c>
      <x:c r="E26" t="n">
        <x:f>COUNTIFS('Test Cases'!$C$6:$C$309,A26,'Test Cases'!$O$6:$O$309,"Failed")</x:f>
        <x:v>0</x:v>
      </x:c>
      <x:c r="F26" t="n">
        <x:f>COUNTIFS('Test Cases'!$C$6:$C$309,A26,'Test Cases'!$O$6:$O$309,"Blocked")</x:f>
        <x:v>0</x:v>
      </x:c>
      <x:c r="G26" s="30" t="n">
        <x:f>IFERROR(C26/B26,0)</x:f>
        <x:v>0</x:v>
      </x:c>
      <x:c r="H26" s="30" t="n">
        <x:f>IFERROR(D26/C26,0)</x:f>
        <x:v>0</x:v>
      </x:c>
      <x:c r="I26" t="n">
        <x:f>SUMIF('Test Cases'!$C$6:$C$309,A26,'Test Cases'!$AE$6:$AE$309)</x:f>
        <x:v>1</x:v>
      </x:c>
    </x:row>
    <x:row r="27">
      <x:c r="A27" t="str">
        <x:v>Privacy &amp; Medical Data</x:v>
      </x:c>
      <x:c r="B27" t="n">
        <x:f>COUNTIF('Test Cases'!$C$6:$C$309,A27)</x:f>
        <x:v>10</x:v>
      </x:c>
      <x:c r="C27" t="n">
        <x:f>SUMIF('Test Cases'!$C$6:$C$309,A27,'Test Cases'!$AA$6:$AA$309)</x:f>
        <x:v>0</x:v>
      </x:c>
      <x:c r="D27" t="n">
        <x:f>SUMIF('Test Cases'!$C$6:$C$309,A27,'Test Cases'!$AB$6:$AB$309)</x:f>
        <x:v>0</x:v>
      </x:c>
      <x:c r="E27" t="n">
        <x:f>COUNTIFS('Test Cases'!$C$6:$C$309,A27,'Test Cases'!$O$6:$O$309,"Failed")</x:f>
        <x:v>0</x:v>
      </x:c>
      <x:c r="F27" t="n">
        <x:f>COUNTIFS('Test Cases'!$C$6:$C$309,A27,'Test Cases'!$O$6:$O$309,"Blocked")</x:f>
        <x:v>0</x:v>
      </x:c>
      <x:c r="G27" s="30" t="n">
        <x:f>IFERROR(C27/B27,0)</x:f>
        <x:v>0</x:v>
      </x:c>
      <x:c r="H27" s="30" t="n">
        <x:f>IFERROR(D27/C27,0)</x:f>
        <x:v>0</x:v>
      </x:c>
      <x:c r="I27" t="n">
        <x:f>SUMIF('Test Cases'!$C$6:$C$309,A27,'Test Cases'!$AE$6:$AE$309)</x:f>
        <x:v>0</x:v>
      </x:c>
    </x:row>
    <x:row r="28">
      <x:c r="A28" t="str">
        <x:v>Production Operations</x:v>
      </x:c>
      <x:c r="B28" t="n">
        <x:f>COUNTIF('Test Cases'!$C$6:$C$309,A28)</x:f>
        <x:v>12</x:v>
      </x:c>
      <x:c r="C28" t="n">
        <x:f>SUMIF('Test Cases'!$C$6:$C$309,A28,'Test Cases'!$AA$6:$AA$309)</x:f>
        <x:v>0</x:v>
      </x:c>
      <x:c r="D28" t="n">
        <x:f>SUMIF('Test Cases'!$C$6:$C$309,A28,'Test Cases'!$AB$6:$AB$309)</x:f>
        <x:v>0</x:v>
      </x:c>
      <x:c r="E28" t="n">
        <x:f>COUNTIFS('Test Cases'!$C$6:$C$309,A28,'Test Cases'!$O$6:$O$309,"Failed")</x:f>
        <x:v>0</x:v>
      </x:c>
      <x:c r="F28" t="n">
        <x:f>COUNTIFS('Test Cases'!$C$6:$C$309,A28,'Test Cases'!$O$6:$O$309,"Blocked")</x:f>
        <x:v>0</x:v>
      </x:c>
      <x:c r="G28" s="30" t="n">
        <x:f>IFERROR(C28/B28,0)</x:f>
        <x:v>0</x:v>
      </x:c>
      <x:c r="H28" s="30" t="n">
        <x:f>IFERROR(D28/C28,0)</x:f>
        <x:v>0</x:v>
      </x:c>
      <x:c r="I28" t="n">
        <x:f>SUMIF('Test Cases'!$C$6:$C$309,A28,'Test Cases'!$AE$6:$AE$309)</x:f>
        <x:v>0</x:v>
      </x:c>
    </x:row>
    <x:row r="29">
      <x:c r="A29" t="str">
        <x:v>RBAC &amp; Settings</x:v>
      </x:c>
      <x:c r="B29" t="n">
        <x:f>COUNTIF('Test Cases'!$C$6:$C$309,A29)</x:f>
        <x:v>12</x:v>
      </x:c>
      <x:c r="C29" t="n">
        <x:f>SUMIF('Test Cases'!$C$6:$C$309,A29,'Test Cases'!$AA$6:$AA$309)</x:f>
        <x:v>0</x:v>
      </x:c>
      <x:c r="D29" t="n">
        <x:f>SUMIF('Test Cases'!$C$6:$C$309,A29,'Test Cases'!$AB$6:$AB$309)</x:f>
        <x:v>0</x:v>
      </x:c>
      <x:c r="E29" t="n">
        <x:f>COUNTIFS('Test Cases'!$C$6:$C$309,A29,'Test Cases'!$O$6:$O$309,"Failed")</x:f>
        <x:v>0</x:v>
      </x:c>
      <x:c r="F29" t="n">
        <x:f>COUNTIFS('Test Cases'!$C$6:$C$309,A29,'Test Cases'!$O$6:$O$309,"Blocked")</x:f>
        <x:v>0</x:v>
      </x:c>
      <x:c r="G29" s="30" t="n">
        <x:f>IFERROR(C29/B29,0)</x:f>
        <x:v>0</x:v>
      </x:c>
      <x:c r="H29" s="30" t="n">
        <x:f>IFERROR(D29/C29,0)</x:f>
        <x:v>0</x:v>
      </x:c>
      <x:c r="I29" t="n">
        <x:f>SUMIF('Test Cases'!$C$6:$C$309,A29,'Test Cases'!$AE$6:$AE$309)</x:f>
        <x:v>3</x:v>
      </x:c>
    </x:row>
    <x:row r="30">
      <x:c r="A30" t="str">
        <x:v>Release Certification &amp; Sales UAT</x:v>
      </x:c>
      <x:c r="B30" t="n">
        <x:f>COUNTIF('Test Cases'!$C$6:$C$309,A30)</x:f>
        <x:v>14</x:v>
      </x:c>
      <x:c r="C30" t="n">
        <x:f>SUMIF('Test Cases'!$C$6:$C$309,A30,'Test Cases'!$AA$6:$AA$309)</x:f>
        <x:v>0</x:v>
      </x:c>
      <x:c r="D30" t="n">
        <x:f>SUMIF('Test Cases'!$C$6:$C$309,A30,'Test Cases'!$AB$6:$AB$309)</x:f>
        <x:v>0</x:v>
      </x:c>
      <x:c r="E30" t="n">
        <x:f>COUNTIFS('Test Cases'!$C$6:$C$309,A30,'Test Cases'!$O$6:$O$309,"Failed")</x:f>
        <x:v>0</x:v>
      </x:c>
      <x:c r="F30" t="n">
        <x:f>COUNTIFS('Test Cases'!$C$6:$C$309,A30,'Test Cases'!$O$6:$O$309,"Blocked")</x:f>
        <x:v>0</x:v>
      </x:c>
      <x:c r="G30" s="30" t="n">
        <x:f>IFERROR(C30/B30,0)</x:f>
        <x:v>0</x:v>
      </x:c>
      <x:c r="H30" s="30" t="n">
        <x:f>IFERROR(D30/C30,0)</x:f>
        <x:v>0</x:v>
      </x:c>
      <x:c r="I30" t="n">
        <x:f>SUMIF('Test Cases'!$C$6:$C$309,A30,'Test Cases'!$AE$6:$AE$309)</x:f>
        <x:v>0</x:v>
      </x:c>
    </x:row>
    <x:row r="31">
      <x:c r="A31" t="str">
        <x:v>Reliability, Backup &amp; Recovery</x:v>
      </x:c>
      <x:c r="B31" t="n">
        <x:f>COUNTIF('Test Cases'!$C$6:$C$309,A31)</x:f>
        <x:v>12</x:v>
      </x:c>
      <x:c r="C31" t="n">
        <x:f>SUMIF('Test Cases'!$C$6:$C$309,A31,'Test Cases'!$AA$6:$AA$309)</x:f>
        <x:v>0</x:v>
      </x:c>
      <x:c r="D31" t="n">
        <x:f>SUMIF('Test Cases'!$C$6:$C$309,A31,'Test Cases'!$AB$6:$AB$309)</x:f>
        <x:v>0</x:v>
      </x:c>
      <x:c r="E31" t="n">
        <x:f>COUNTIFS('Test Cases'!$C$6:$C$309,A31,'Test Cases'!$O$6:$O$309,"Failed")</x:f>
        <x:v>0</x:v>
      </x:c>
      <x:c r="F31" t="n">
        <x:f>COUNTIFS('Test Cases'!$C$6:$C$309,A31,'Test Cases'!$O$6:$O$309,"Blocked")</x:f>
        <x:v>0</x:v>
      </x:c>
      <x:c r="G31" s="30" t="n">
        <x:f>IFERROR(C31/B31,0)</x:f>
        <x:v>0</x:v>
      </x:c>
      <x:c r="H31" s="30" t="n">
        <x:f>IFERROR(D31/C31,0)</x:f>
        <x:v>0</x:v>
      </x:c>
      <x:c r="I31" t="n">
        <x:f>SUMIF('Test Cases'!$C$6:$C$309,A31,'Test Cases'!$AE$6:$AE$309)</x:f>
        <x:v>0</x:v>
      </x:c>
    </x:row>
    <x:row r="32">
      <x:c r="A32" t="str">
        <x:v>Reports</x:v>
      </x:c>
      <x:c r="B32" t="n">
        <x:f>COUNTIF('Test Cases'!$C$6:$C$309,A32)</x:f>
        <x:v>20</x:v>
      </x:c>
      <x:c r="C32" t="n">
        <x:f>SUMIF('Test Cases'!$C$6:$C$309,A32,'Test Cases'!$AA$6:$AA$309)</x:f>
        <x:v>0</x:v>
      </x:c>
      <x:c r="D32" t="n">
        <x:f>SUMIF('Test Cases'!$C$6:$C$309,A32,'Test Cases'!$AB$6:$AB$309)</x:f>
        <x:v>0</x:v>
      </x:c>
      <x:c r="E32" t="n">
        <x:f>COUNTIFS('Test Cases'!$C$6:$C$309,A32,'Test Cases'!$O$6:$O$309,"Failed")</x:f>
        <x:v>0</x:v>
      </x:c>
      <x:c r="F32" t="n">
        <x:f>COUNTIFS('Test Cases'!$C$6:$C$309,A32,'Test Cases'!$O$6:$O$309,"Blocked")</x:f>
        <x:v>0</x:v>
      </x:c>
      <x:c r="G32" s="30" t="n">
        <x:f>IFERROR(C32/B32,0)</x:f>
        <x:v>0</x:v>
      </x:c>
      <x:c r="H32" s="30" t="n">
        <x:f>IFERROR(D32/C32,0)</x:f>
        <x:v>0</x:v>
      </x:c>
      <x:c r="I32" t="n">
        <x:f>SUMIF('Test Cases'!$C$6:$C$309,A32,'Test Cases'!$AE$6:$AE$309)</x:f>
        <x:v>5</x:v>
      </x:c>
    </x:row>
    <x:row r="33">
      <x:c r="A33" t="str">
        <x:v>Samples</x:v>
      </x:c>
      <x:c r="B33" t="n">
        <x:f>COUNTIF('Test Cases'!$C$6:$C$309,A33)</x:f>
        <x:v>19</x:v>
      </x:c>
      <x:c r="C33" t="n">
        <x:f>SUMIF('Test Cases'!$C$6:$C$309,A33,'Test Cases'!$AA$6:$AA$309)</x:f>
        <x:v>0</x:v>
      </x:c>
      <x:c r="D33" t="n">
        <x:f>SUMIF('Test Cases'!$C$6:$C$309,A33,'Test Cases'!$AB$6:$AB$309)</x:f>
        <x:v>0</x:v>
      </x:c>
      <x:c r="E33" t="n">
        <x:f>COUNTIFS('Test Cases'!$C$6:$C$309,A33,'Test Cases'!$O$6:$O$309,"Failed")</x:f>
        <x:v>0</x:v>
      </x:c>
      <x:c r="F33" t="n">
        <x:f>COUNTIFS('Test Cases'!$C$6:$C$309,A33,'Test Cases'!$O$6:$O$309,"Blocked")</x:f>
        <x:v>0</x:v>
      </x:c>
      <x:c r="G33" s="30" t="n">
        <x:f>IFERROR(C33/B33,0)</x:f>
        <x:v>0</x:v>
      </x:c>
      <x:c r="H33" s="30" t="n">
        <x:f>IFERROR(D33/C33,0)</x:f>
        <x:v>0</x:v>
      </x:c>
      <x:c r="I33" t="n">
        <x:f>SUMIF('Test Cases'!$C$6:$C$309,A33,'Test Cases'!$AE$6:$AE$309)</x:f>
        <x:v>6</x:v>
      </x:c>
    </x:row>
    <x:row r="34">
      <x:c r="A34" t="str">
        <x:v>Security</x:v>
      </x:c>
      <x:c r="B34" t="n">
        <x:f>COUNTIF('Test Cases'!$C$6:$C$309,A34)</x:f>
        <x:v>17</x:v>
      </x:c>
      <x:c r="C34" t="n">
        <x:f>SUMIF('Test Cases'!$C$6:$C$309,A34,'Test Cases'!$AA$6:$AA$309)</x:f>
        <x:v>0</x:v>
      </x:c>
      <x:c r="D34" t="n">
        <x:f>SUMIF('Test Cases'!$C$6:$C$309,A34,'Test Cases'!$AB$6:$AB$309)</x:f>
        <x:v>0</x:v>
      </x:c>
      <x:c r="E34" t="n">
        <x:f>COUNTIFS('Test Cases'!$C$6:$C$309,A34,'Test Cases'!$O$6:$O$309,"Failed")</x:f>
        <x:v>0</x:v>
      </x:c>
      <x:c r="F34" t="n">
        <x:f>COUNTIFS('Test Cases'!$C$6:$C$309,A34,'Test Cases'!$O$6:$O$309,"Blocked")</x:f>
        <x:v>0</x:v>
      </x:c>
      <x:c r="G34" s="30" t="n">
        <x:f>IFERROR(C34/B34,0)</x:f>
        <x:v>0</x:v>
      </x:c>
      <x:c r="H34" s="30" t="n">
        <x:f>IFERROR(D34/C34,0)</x:f>
        <x:v>0</x:v>
      </x:c>
      <x:c r="I34" t="n">
        <x:f>SUMIF('Test Cases'!$C$6:$C$309,A34,'Test Cases'!$AE$6:$AE$309)</x:f>
        <x:v>1</x:v>
      </x:c>
    </x:row>
    <x:row r="35">
      <x:c r="A35" t="str">
        <x:v>Settings/RBAC</x:v>
      </x:c>
      <x:c r="B35" t="n">
        <x:f>COUNTIF('Test Cases'!$C$6:$C$309,A35)</x:f>
        <x:v>1</x:v>
      </x:c>
      <x:c r="C35" t="n">
        <x:f>SUMIF('Test Cases'!$C$6:$C$309,A35,'Test Cases'!$AA$6:$AA$309)</x:f>
        <x:v>0</x:v>
      </x:c>
      <x:c r="D35" t="n">
        <x:f>SUMIF('Test Cases'!$C$6:$C$309,A35,'Test Cases'!$AB$6:$AB$309)</x:f>
        <x:v>0</x:v>
      </x:c>
      <x:c r="E35" t="n">
        <x:f>COUNTIFS('Test Cases'!$C$6:$C$309,A35,'Test Cases'!$O$6:$O$309,"Failed")</x:f>
        <x:v>0</x:v>
      </x:c>
      <x:c r="F35" t="n">
        <x:f>COUNTIFS('Test Cases'!$C$6:$C$309,A35,'Test Cases'!$O$6:$O$309,"Blocked")</x:f>
        <x:v>0</x:v>
      </x:c>
      <x:c r="G35" s="30" t="n">
        <x:f>IFERROR(C35/B35,0)</x:f>
        <x:v>0</x:v>
      </x:c>
      <x:c r="H35" s="30" t="n">
        <x:f>IFERROR(D35/C35,0)</x:f>
        <x:v>0</x:v>
      </x:c>
      <x:c r="I35" t="n">
        <x:f>SUMIF('Test Cases'!$C$6:$C$309,A35,'Test Cases'!$AE$6:$AE$309)</x:f>
        <x:v>0</x:v>
      </x:c>
    </x:row>
    <x:row r="36">
      <x:c r="A36" t="str">
        <x:v>Test Master</x:v>
      </x:c>
      <x:c r="B36" t="n">
        <x:f>COUNTIF('Test Cases'!$C$6:$C$309,A36)</x:f>
        <x:v>13</x:v>
      </x:c>
      <x:c r="C36" t="n">
        <x:f>SUMIF('Test Cases'!$C$6:$C$309,A36,'Test Cases'!$AA$6:$AA$309)</x:f>
        <x:v>0</x:v>
      </x:c>
      <x:c r="D36" t="n">
        <x:f>SUMIF('Test Cases'!$C$6:$C$309,A36,'Test Cases'!$AB$6:$AB$309)</x:f>
        <x:v>0</x:v>
      </x:c>
      <x:c r="E36" t="n">
        <x:f>COUNTIFS('Test Cases'!$C$6:$C$309,A36,'Test Cases'!$O$6:$O$309,"Failed")</x:f>
        <x:v>0</x:v>
      </x:c>
      <x:c r="F36" t="n">
        <x:f>COUNTIFS('Test Cases'!$C$6:$C$309,A36,'Test Cases'!$O$6:$O$309,"Blocked")</x:f>
        <x:v>0</x:v>
      </x:c>
      <x:c r="G36" s="30" t="n">
        <x:f>IFERROR(C36/B36,0)</x:f>
        <x:v>0</x:v>
      </x:c>
      <x:c r="H36" s="30" t="n">
        <x:f>IFERROR(D36/C36,0)</x:f>
        <x:v>0</x:v>
      </x:c>
      <x:c r="I36" t="n">
        <x:f>SUMIF('Test Cases'!$C$6:$C$309,A36,'Test Cases'!$AE$6:$AE$309)</x:f>
        <x:v>4</x:v>
      </x:c>
    </x:row>
    <x:row r="37">
      <x:c r="A37" t="str">
        <x:v>Workflow</x:v>
      </x:c>
      <x:c r="B37" t="n">
        <x:f>COUNTIF('Test Cases'!$C$6:$C$309,A37)</x:f>
        <x:v>1</x:v>
      </x:c>
      <x:c r="C37" t="n">
        <x:f>SUMIF('Test Cases'!$C$6:$C$309,A37,'Test Cases'!$AA$6:$AA$309)</x:f>
        <x:v>0</x:v>
      </x:c>
      <x:c r="D37" t="n">
        <x:f>SUMIF('Test Cases'!$C$6:$C$309,A37,'Test Cases'!$AB$6:$AB$309)</x:f>
        <x:v>0</x:v>
      </x:c>
      <x:c r="E37" t="n">
        <x:f>COUNTIFS('Test Cases'!$C$6:$C$309,A37,'Test Cases'!$O$6:$O$309,"Failed")</x:f>
        <x:v>0</x:v>
      </x:c>
      <x:c r="F37" t="n">
        <x:f>COUNTIFS('Test Cases'!$C$6:$C$309,A37,'Test Cases'!$O$6:$O$309,"Blocked")</x:f>
        <x:v>0</x:v>
      </x:c>
      <x:c r="G37" s="30" t="n">
        <x:f>IFERROR(C37/B37,0)</x:f>
        <x:v>0</x:v>
      </x:c>
      <x:c r="H37" s="30" t="n">
        <x:f>IFERROR(D37/C37,0)</x:f>
        <x:v>0</x:v>
      </x:c>
      <x:c r="I37" t="n">
        <x:f>SUMIF('Test Cases'!$C$6:$C$309,A37,'Test Cases'!$AE$6:$AE$309)</x:f>
        <x:v>0</x:v>
      </x:c>
    </x:row>
  </x:sheetData>
  <x:mergeCells>
    <x:mergeCell ref="A1:I1"/>
    <x:mergeCell ref="A2:H2"/>
  </x:mergeCells>
  <x:conditionalFormatting sqref="G6:H37">
    <x:cfRule type="colorScale" priority="1">
      <x:colorScale>
        <x:cfvo type="min"/>
        <x:cfvo type="percentile" val="50"/>
        <x:cfvo type="max"/>
        <x:color rgb="FFFEE2E2"/>
        <x:color rgb="FFFEF3C7"/>
        <x:color rgb="FFDCFCE7"/>
      </x:colorScale>
    </x:cfRule>
  </x:conditionalFormatting>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1" hidden="0" customWidth="1"/>
    <x:col min="4" max="4" width="24" hidden="0" customWidth="1"/>
    <x:col min="5" max="5" width="38" hidden="0" customWidth="1"/>
    <x:col min="6" max="6" width="12" hidden="0" customWidth="1"/>
    <x:col min="7" max="7" width="14" hidden="0" customWidth="1"/>
    <x:col min="8" max="8" width="18" hidden="0" customWidth="1"/>
    <x:col min="9" max="9" width="14" hidden="0" customWidth="1"/>
    <x:col min="10" max="10" width="14" hidden="0" customWidth="1"/>
    <x:col min="11" max="11" width="14" hidden="0" customWidth="1"/>
    <x:col min="12" max="12" width="10" hidden="0" customWidth="1"/>
    <x:col min="13" max="13" width="24" hidden="0" customWidth="1"/>
    <x:col min="14" max="14" width="14" hidden="0" customWidth="1"/>
    <x:col min="15" max="15" width="14" hidden="0" customWidth="1"/>
    <x:col min="16" max="16" width="28" hidden="0" customWidth="1"/>
    <x:col min="17" max="17" width="30" hidden="0" customWidth="1"/>
  </x:cols>
  <x:sheetData>
    <x:row r="1" ht="34" customHeight="1">
      <x:c r="A1" s="51" t="str">
        <x:v>DEFECT REGISTER</x:v>
      </x:c>
      <x:c r="B1" s="51" t="str">
        <x:v>DEFECT REGISTER</x:v>
      </x:c>
      <x:c r="C1" s="51" t="str">
        <x:v>DEFECT REGISTER</x:v>
      </x:c>
      <x:c r="D1" s="51" t="str">
        <x:v>DEFECT REGISTER</x:v>
      </x:c>
      <x:c r="E1" s="51" t="str">
        <x:v>DEFECT REGISTER</x:v>
      </x:c>
      <x:c r="F1" s="51" t="str">
        <x:v>DEFECT REGISTER</x:v>
      </x:c>
      <x:c r="G1" s="51" t="str">
        <x:v>DEFECT REGISTER</x:v>
      </x:c>
      <x:c r="H1" s="51" t="str">
        <x:v>DEFECT REGISTER</x:v>
      </x:c>
      <x:c r="I1" s="51" t="str">
        <x:v>DEFECT REGISTER</x:v>
      </x:c>
      <x:c r="J1" s="51" t="str">
        <x:v>DEFECT REGISTER</x:v>
      </x:c>
      <x:c r="K1" s="51" t="str">
        <x:v>DEFECT REGISTER</x:v>
      </x:c>
      <x:c r="L1" s="51" t="str">
        <x:v>DEFECT REGISTER</x:v>
      </x:c>
      <x:c r="M1" s="51" t="str">
        <x:v>DEFECT REGISTER</x:v>
      </x:c>
      <x:c r="N1" s="51" t="str">
        <x:v>DEFECT REGISTER</x:v>
      </x:c>
      <x:c r="O1" s="51" t="str">
        <x:v>DEFECT REGISTER</x:v>
      </x:c>
      <x:c r="P1" s="51" t="str">
        <x:v>DEFECT REGISTER</x:v>
      </x:c>
      <x:c r="Q1" s="51" t="str">
        <x:v>DEFECT REGISTER</x:v>
      </x:c>
    </x:row>
    <x:row r="2" ht="28" customHeight="1">
      <x:c r="A2" s="7" t="str">
        <x:v>Create one row per defect and link it to the Test Case ID.</x:v>
      </x:c>
      <x:c r="B2" s="7" t="str">
        <x:v>Create one row per defect and link it to the Test Case ID.</x:v>
      </x:c>
      <x:c r="C2" s="7" t="str">
        <x:v>Create one row per defect and link it to the Test Case ID.</x:v>
      </x:c>
      <x:c r="D2" s="7" t="str">
        <x:v>Create one row per defect and link it to the Test Case ID.</x:v>
      </x:c>
      <x:c r="E2" s="7" t="str">
        <x:v>Create one row per defect and link it to the Test Case ID.</x:v>
      </x:c>
      <x:c r="F2" s="7" t="str">
        <x:v>Create one row per defect and link it to the Test Case ID.</x:v>
      </x:c>
      <x:c r="G2" s="7" t="str">
        <x:v>Create one row per defect and link it to the Test Case ID.</x:v>
      </x:c>
      <x:c r="H2" s="7" t="str">
        <x:v>Create one row per defect and link it to the Test Case ID.</x:v>
      </x:c>
    </x:row>
    <x:row r="4" ht="30" customHeight="1">
      <x:c r="A4" s="19" t="str">
        <x:v>Defect ID</x:v>
      </x:c>
      <x:c r="B4" s="20" t="str">
        <x:v>Test Case ID</x:v>
      </x:c>
      <x:c r="C4" s="20" t="str">
        <x:v>Level</x:v>
      </x:c>
      <x:c r="D4" s="20" t="str">
        <x:v>Module</x:v>
      </x:c>
      <x:c r="E4" s="20" t="str">
        <x:v>Summary</x:v>
      </x:c>
      <x:c r="F4" s="20" t="str">
        <x:v>Severity</x:v>
      </x:c>
      <x:c r="G4" s="20" t="str">
        <x:v>Status</x:v>
      </x:c>
      <x:c r="H4" s="20" t="str">
        <x:v>Owner</x:v>
      </x:c>
      <x:c r="I4" s="20" t="str">
        <x:v>Opened Date</x:v>
      </x:c>
      <x:c r="J4" s="20" t="str">
        <x:v>Target Date</x:v>
      </x:c>
      <x:c r="K4" s="20" t="str">
        <x:v>Closed Date</x:v>
      </x:c>
      <x:c r="L4" s="20" t="str">
        <x:v>Age Days</x:v>
      </x:c>
      <x:c r="M4" s="20" t="str">
        <x:v>Root Cause</x:v>
      </x:c>
      <x:c r="N4" s="20" t="str">
        <x:v>Fix Build</x:v>
      </x:c>
      <x:c r="O4" s="20" t="str">
        <x:v>Retest Result</x:v>
      </x:c>
      <x:c r="P4" s="20" t="str">
        <x:v>Evidence</x:v>
      </x:c>
      <x:c r="Q4" s="21" t="str">
        <x:v>Comments</x:v>
      </x:c>
    </x:row>
    <x:row r="5">
      <x:c r="A5" t="str"/>
      <x:c r="B5" t="str"/>
      <x:c r="C5" t="str"/>
      <x:c r="D5" t="str"/>
      <x:c r="E5" t="str"/>
      <x:c r="F5" t="str"/>
      <x:c r="G5" t="str"/>
      <x:c r="H5" t="str"/>
      <x:c r="I5" s="49" t="str"/>
      <x:c r="J5" s="49" t="str"/>
      <x:c r="K5" s="49" t="str"/>
      <x:c r="L5" s="50" t="str">
        <x:f>IF(I5="","",IF(K5&lt;&gt;"",K5-I5,TODAY()-I5))</x:f>
      </x:c>
      <x:c r="M5" t="str"/>
      <x:c r="N5" t="str"/>
      <x:c r="O5" t="str"/>
      <x:c r="P5" t="str"/>
      <x:c r="Q5" t="str"/>
    </x:row>
    <x:row r="6">
      <x:c r="I6" s="49"/>
      <x:c r="J6" s="49"/>
      <x:c r="K6" s="49"/>
      <x:c r="L6" s="50"/>
    </x:row>
    <x:row r="7">
      <x:c r="I7" s="49"/>
      <x:c r="J7" s="49"/>
      <x:c r="K7" s="49"/>
      <x:c r="L7" s="50"/>
    </x:row>
    <x:row r="8">
      <x:c r="I8" s="49"/>
      <x:c r="J8" s="49"/>
      <x:c r="K8" s="49"/>
      <x:c r="L8" s="50"/>
    </x:row>
    <x:row r="9">
      <x:c r="I9" s="49"/>
      <x:c r="J9" s="49"/>
      <x:c r="K9" s="49"/>
      <x:c r="L9" s="50"/>
    </x:row>
    <x:row r="10">
      <x:c r="I10" s="49"/>
      <x:c r="J10" s="49"/>
      <x:c r="K10" s="49"/>
      <x:c r="L10" s="50"/>
    </x:row>
    <x:row r="11">
      <x:c r="I11" s="49"/>
      <x:c r="J11" s="49"/>
      <x:c r="K11" s="49"/>
      <x:c r="L11" s="50"/>
    </x:row>
    <x:row r="12">
      <x:c r="I12" s="49"/>
      <x:c r="J12" s="49"/>
      <x:c r="K12" s="49"/>
      <x:c r="L12" s="50"/>
    </x:row>
    <x:row r="13">
      <x:c r="I13" s="49"/>
      <x:c r="J13" s="49"/>
      <x:c r="K13" s="49"/>
      <x:c r="L13" s="50"/>
    </x:row>
    <x:row r="14">
      <x:c r="I14" s="49"/>
      <x:c r="J14" s="49"/>
      <x:c r="K14" s="49"/>
      <x:c r="L14" s="50"/>
    </x:row>
    <x:row r="15">
      <x:c r="I15" s="49"/>
      <x:c r="J15" s="49"/>
      <x:c r="K15" s="49"/>
      <x:c r="L15" s="50"/>
    </x:row>
    <x:row r="16">
      <x:c r="I16" s="49"/>
      <x:c r="J16" s="49"/>
      <x:c r="K16" s="49"/>
      <x:c r="L16" s="50"/>
    </x:row>
    <x:row r="17">
      <x:c r="I17" s="49"/>
      <x:c r="J17" s="49"/>
      <x:c r="K17" s="49"/>
      <x:c r="L17" s="50"/>
    </x:row>
    <x:row r="18">
      <x:c r="I18" s="49"/>
      <x:c r="J18" s="49"/>
      <x:c r="K18" s="49"/>
      <x:c r="L18" s="50"/>
    </x:row>
    <x:row r="19">
      <x:c r="I19" s="49"/>
      <x:c r="J19" s="49"/>
      <x:c r="K19" s="49"/>
      <x:c r="L19" s="50"/>
    </x:row>
    <x:row r="20">
      <x:c r="I20" s="49"/>
      <x:c r="J20" s="49"/>
      <x:c r="K20" s="49"/>
      <x:c r="L20" s="50"/>
    </x:row>
    <x:row r="21">
      <x:c r="I21" s="49"/>
      <x:c r="J21" s="49"/>
      <x:c r="K21" s="49"/>
      <x:c r="L21" s="50"/>
    </x:row>
    <x:row r="22">
      <x:c r="I22" s="49"/>
      <x:c r="J22" s="49"/>
      <x:c r="K22" s="49"/>
      <x:c r="L22" s="50"/>
    </x:row>
    <x:row r="23">
      <x:c r="I23" s="49"/>
      <x:c r="J23" s="49"/>
      <x:c r="K23" s="49"/>
      <x:c r="L23" s="50"/>
    </x:row>
    <x:row r="24">
      <x:c r="I24" s="49"/>
      <x:c r="J24" s="49"/>
      <x:c r="K24" s="49"/>
      <x:c r="L24" s="50"/>
    </x:row>
    <x:row r="25">
      <x:c r="I25" s="49"/>
      <x:c r="J25" s="49"/>
      <x:c r="K25" s="49"/>
      <x:c r="L25" s="50"/>
    </x:row>
    <x:row r="26">
      <x:c r="I26" s="49"/>
      <x:c r="J26" s="49"/>
      <x:c r="K26" s="49"/>
      <x:c r="L26" s="50"/>
    </x:row>
    <x:row r="27">
      <x:c r="I27" s="49"/>
      <x:c r="J27" s="49"/>
      <x:c r="K27" s="49"/>
      <x:c r="L27" s="50"/>
    </x:row>
    <x:row r="28">
      <x:c r="I28" s="49"/>
      <x:c r="J28" s="49"/>
      <x:c r="K28" s="49"/>
      <x:c r="L28" s="50"/>
    </x:row>
    <x:row r="29">
      <x:c r="I29" s="49"/>
      <x:c r="J29" s="49"/>
      <x:c r="K29" s="49"/>
      <x:c r="L29" s="50"/>
    </x:row>
    <x:row r="30">
      <x:c r="I30" s="49"/>
      <x:c r="J30" s="49"/>
      <x:c r="K30" s="49"/>
      <x:c r="L30" s="50"/>
    </x:row>
    <x:row r="31">
      <x:c r="I31" s="49"/>
      <x:c r="J31" s="49"/>
      <x:c r="K31" s="49"/>
      <x:c r="L31" s="50"/>
    </x:row>
    <x:row r="32">
      <x:c r="I32" s="49"/>
      <x:c r="J32" s="49"/>
      <x:c r="K32" s="49"/>
      <x:c r="L32" s="50"/>
    </x:row>
    <x:row r="33">
      <x:c r="I33" s="49"/>
      <x:c r="J33" s="49"/>
      <x:c r="K33" s="49"/>
      <x:c r="L33" s="50"/>
    </x:row>
    <x:row r="34">
      <x:c r="I34" s="49"/>
      <x:c r="J34" s="49"/>
      <x:c r="K34" s="49"/>
      <x:c r="L34" s="50"/>
    </x:row>
    <x:row r="35">
      <x:c r="I35" s="49"/>
      <x:c r="J35" s="49"/>
      <x:c r="K35" s="49"/>
      <x:c r="L35" s="50"/>
    </x:row>
    <x:row r="36">
      <x:c r="I36" s="49"/>
      <x:c r="J36" s="49"/>
      <x:c r="K36" s="49"/>
      <x:c r="L36" s="50"/>
    </x:row>
    <x:row r="37">
      <x:c r="I37" s="49"/>
      <x:c r="J37" s="49"/>
      <x:c r="K37" s="49"/>
      <x:c r="L37" s="50"/>
    </x:row>
    <x:row r="38">
      <x:c r="I38" s="49"/>
      <x:c r="J38" s="49"/>
      <x:c r="K38" s="49"/>
      <x:c r="L38" s="50"/>
    </x:row>
    <x:row r="39">
      <x:c r="I39" s="49"/>
      <x:c r="J39" s="49"/>
      <x:c r="K39" s="49"/>
      <x:c r="L39" s="50"/>
    </x:row>
    <x:row r="40">
      <x:c r="I40" s="49"/>
      <x:c r="J40" s="49"/>
      <x:c r="K40" s="49"/>
      <x:c r="L40" s="50"/>
    </x:row>
    <x:row r="41">
      <x:c r="I41" s="49"/>
      <x:c r="J41" s="49"/>
      <x:c r="K41" s="49"/>
      <x:c r="L41" s="50"/>
    </x:row>
    <x:row r="42">
      <x:c r="I42" s="49"/>
      <x:c r="J42" s="49"/>
      <x:c r="K42" s="49"/>
      <x:c r="L42" s="50"/>
    </x:row>
    <x:row r="43">
      <x:c r="I43" s="49"/>
      <x:c r="J43" s="49"/>
      <x:c r="K43" s="49"/>
      <x:c r="L43" s="50"/>
    </x:row>
    <x:row r="44">
      <x:c r="I44" s="49"/>
      <x:c r="J44" s="49"/>
      <x:c r="K44" s="49"/>
      <x:c r="L44" s="50"/>
    </x:row>
    <x:row r="45">
      <x:c r="I45" s="49"/>
      <x:c r="J45" s="49"/>
      <x:c r="K45" s="49"/>
      <x:c r="L45" s="50"/>
    </x:row>
    <x:row r="46">
      <x:c r="I46" s="49"/>
      <x:c r="J46" s="49"/>
      <x:c r="K46" s="49"/>
      <x:c r="L46" s="50"/>
    </x:row>
    <x:row r="47">
      <x:c r="I47" s="49"/>
      <x:c r="J47" s="49"/>
      <x:c r="K47" s="49"/>
      <x:c r="L47" s="50"/>
    </x:row>
    <x:row r="48">
      <x:c r="I48" s="49"/>
      <x:c r="J48" s="49"/>
      <x:c r="K48" s="49"/>
      <x:c r="L48" s="50"/>
    </x:row>
    <x:row r="49">
      <x:c r="I49" s="49"/>
      <x:c r="J49" s="49"/>
      <x:c r="K49" s="49"/>
      <x:c r="L49" s="50"/>
    </x:row>
    <x:row r="50">
      <x:c r="I50" s="49"/>
      <x:c r="J50" s="49"/>
      <x:c r="K50" s="49"/>
      <x:c r="L50" s="50"/>
    </x:row>
    <x:row r="51">
      <x:c r="I51" s="49"/>
      <x:c r="J51" s="49"/>
      <x:c r="K51" s="49"/>
      <x:c r="L51" s="50"/>
    </x:row>
    <x:row r="52">
      <x:c r="I52" s="49"/>
      <x:c r="J52" s="49"/>
      <x:c r="K52" s="49"/>
      <x:c r="L52" s="50"/>
    </x:row>
    <x:row r="53">
      <x:c r="I53" s="49"/>
      <x:c r="J53" s="49"/>
      <x:c r="K53" s="49"/>
      <x:c r="L53" s="50"/>
    </x:row>
    <x:row r="54">
      <x:c r="I54" s="49"/>
      <x:c r="J54" s="49"/>
      <x:c r="K54" s="49"/>
      <x:c r="L54" s="50"/>
    </x:row>
    <x:row r="55">
      <x:c r="I55" s="49"/>
      <x:c r="J55" s="49"/>
      <x:c r="K55" s="49"/>
      <x:c r="L55" s="50"/>
    </x:row>
    <x:row r="56">
      <x:c r="I56" s="49"/>
      <x:c r="J56" s="49"/>
      <x:c r="K56" s="49"/>
      <x:c r="L56" s="50"/>
    </x:row>
    <x:row r="57">
      <x:c r="I57" s="49"/>
      <x:c r="J57" s="49"/>
      <x:c r="K57" s="49"/>
      <x:c r="L57" s="50"/>
    </x:row>
    <x:row r="58">
      <x:c r="I58" s="49"/>
      <x:c r="J58" s="49"/>
      <x:c r="K58" s="49"/>
      <x:c r="L58" s="50"/>
    </x:row>
    <x:row r="59">
      <x:c r="I59" s="49"/>
      <x:c r="J59" s="49"/>
      <x:c r="K59" s="49"/>
      <x:c r="L59" s="50"/>
    </x:row>
    <x:row r="60">
      <x:c r="I60" s="49"/>
      <x:c r="J60" s="49"/>
      <x:c r="K60" s="49"/>
      <x:c r="L60" s="50"/>
    </x:row>
    <x:row r="61">
      <x:c r="I61" s="49"/>
      <x:c r="J61" s="49"/>
      <x:c r="K61" s="49"/>
      <x:c r="L61" s="50"/>
    </x:row>
    <x:row r="62">
      <x:c r="I62" s="49"/>
      <x:c r="J62" s="49"/>
      <x:c r="K62" s="49"/>
      <x:c r="L62" s="50"/>
    </x:row>
    <x:row r="63">
      <x:c r="I63" s="49"/>
      <x:c r="J63" s="49"/>
      <x:c r="K63" s="49"/>
      <x:c r="L63" s="50"/>
    </x:row>
    <x:row r="64">
      <x:c r="I64" s="49"/>
      <x:c r="J64" s="49"/>
      <x:c r="K64" s="49"/>
      <x:c r="L64" s="50"/>
    </x:row>
    <x:row r="65">
      <x:c r="I65" s="49"/>
      <x:c r="J65" s="49"/>
      <x:c r="K65" s="49"/>
      <x:c r="L65" s="50"/>
    </x:row>
    <x:row r="66">
      <x:c r="I66" s="49"/>
      <x:c r="J66" s="49"/>
      <x:c r="K66" s="49"/>
      <x:c r="L66" s="50"/>
    </x:row>
    <x:row r="67">
      <x:c r="I67" s="49"/>
      <x:c r="J67" s="49"/>
      <x:c r="K67" s="49"/>
      <x:c r="L67" s="50"/>
    </x:row>
    <x:row r="68">
      <x:c r="I68" s="49"/>
      <x:c r="J68" s="49"/>
      <x:c r="K68" s="49"/>
      <x:c r="L68" s="50"/>
    </x:row>
    <x:row r="69">
      <x:c r="I69" s="49"/>
      <x:c r="J69" s="49"/>
      <x:c r="K69" s="49"/>
      <x:c r="L69" s="50"/>
    </x:row>
    <x:row r="70">
      <x:c r="I70" s="49"/>
      <x:c r="J70" s="49"/>
      <x:c r="K70" s="49"/>
      <x:c r="L70" s="50"/>
    </x:row>
    <x:row r="71">
      <x:c r="I71" s="49"/>
      <x:c r="J71" s="49"/>
      <x:c r="K71" s="49"/>
      <x:c r="L71" s="50"/>
    </x:row>
    <x:row r="72">
      <x:c r="I72" s="49"/>
      <x:c r="J72" s="49"/>
      <x:c r="K72" s="49"/>
      <x:c r="L72" s="50"/>
    </x:row>
    <x:row r="73">
      <x:c r="I73" s="49"/>
      <x:c r="J73" s="49"/>
      <x:c r="K73" s="49"/>
      <x:c r="L73" s="50"/>
    </x:row>
    <x:row r="74">
      <x:c r="I74" s="49"/>
      <x:c r="J74" s="49"/>
      <x:c r="K74" s="49"/>
      <x:c r="L74" s="50"/>
    </x:row>
    <x:row r="75">
      <x:c r="I75" s="49"/>
      <x:c r="J75" s="49"/>
      <x:c r="K75" s="49"/>
      <x:c r="L75" s="50"/>
    </x:row>
    <x:row r="76">
      <x:c r="I76" s="49"/>
      <x:c r="J76" s="49"/>
      <x:c r="K76" s="49"/>
      <x:c r="L76" s="50"/>
    </x:row>
    <x:row r="77">
      <x:c r="I77" s="49"/>
      <x:c r="J77" s="49"/>
      <x:c r="K77" s="49"/>
      <x:c r="L77" s="50"/>
    </x:row>
    <x:row r="78">
      <x:c r="I78" s="49"/>
      <x:c r="J78" s="49"/>
      <x:c r="K78" s="49"/>
      <x:c r="L78" s="50"/>
    </x:row>
    <x:row r="79">
      <x:c r="I79" s="49"/>
      <x:c r="J79" s="49"/>
      <x:c r="K79" s="49"/>
      <x:c r="L79" s="50"/>
    </x:row>
    <x:row r="80">
      <x:c r="I80" s="49"/>
      <x:c r="J80" s="49"/>
      <x:c r="K80" s="49"/>
      <x:c r="L80" s="50"/>
    </x:row>
    <x:row r="81">
      <x:c r="I81" s="49"/>
      <x:c r="J81" s="49"/>
      <x:c r="K81" s="49"/>
      <x:c r="L81" s="50"/>
    </x:row>
    <x:row r="82">
      <x:c r="I82" s="49"/>
      <x:c r="J82" s="49"/>
      <x:c r="K82" s="49"/>
      <x:c r="L82" s="50"/>
    </x:row>
    <x:row r="83">
      <x:c r="I83" s="49"/>
      <x:c r="J83" s="49"/>
      <x:c r="K83" s="49"/>
      <x:c r="L83" s="50"/>
    </x:row>
    <x:row r="84">
      <x:c r="I84" s="49"/>
      <x:c r="J84" s="49"/>
      <x:c r="K84" s="49"/>
      <x:c r="L84" s="50"/>
    </x:row>
    <x:row r="85">
      <x:c r="I85" s="49"/>
      <x:c r="J85" s="49"/>
      <x:c r="K85" s="49"/>
      <x:c r="L85" s="50"/>
    </x:row>
    <x:row r="86">
      <x:c r="I86" s="49"/>
      <x:c r="J86" s="49"/>
      <x:c r="K86" s="49"/>
      <x:c r="L86" s="50"/>
    </x:row>
    <x:row r="87">
      <x:c r="I87" s="49"/>
      <x:c r="J87" s="49"/>
      <x:c r="K87" s="49"/>
      <x:c r="L87" s="50"/>
    </x:row>
    <x:row r="88">
      <x:c r="I88" s="49"/>
      <x:c r="J88" s="49"/>
      <x:c r="K88" s="49"/>
      <x:c r="L88" s="50"/>
    </x:row>
    <x:row r="89">
      <x:c r="I89" s="49"/>
      <x:c r="J89" s="49"/>
      <x:c r="K89" s="49"/>
      <x:c r="L89" s="50"/>
    </x:row>
    <x:row r="90">
      <x:c r="I90" s="49"/>
      <x:c r="J90" s="49"/>
      <x:c r="K90" s="49"/>
      <x:c r="L90" s="50"/>
    </x:row>
    <x:row r="91">
      <x:c r="I91" s="49"/>
      <x:c r="J91" s="49"/>
      <x:c r="K91" s="49"/>
      <x:c r="L91" s="50"/>
    </x:row>
    <x:row r="92">
      <x:c r="I92" s="49"/>
      <x:c r="J92" s="49"/>
      <x:c r="K92" s="49"/>
      <x:c r="L92" s="50"/>
    </x:row>
    <x:row r="93">
      <x:c r="I93" s="49"/>
      <x:c r="J93" s="49"/>
      <x:c r="K93" s="49"/>
      <x:c r="L93" s="50"/>
    </x:row>
    <x:row r="94">
      <x:c r="I94" s="49"/>
      <x:c r="J94" s="49"/>
      <x:c r="K94" s="49"/>
      <x:c r="L94" s="50"/>
    </x:row>
    <x:row r="95">
      <x:c r="I95" s="49"/>
      <x:c r="J95" s="49"/>
      <x:c r="K95" s="49"/>
      <x:c r="L95" s="50"/>
    </x:row>
    <x:row r="96">
      <x:c r="I96" s="49"/>
      <x:c r="J96" s="49"/>
      <x:c r="K96" s="49"/>
      <x:c r="L96" s="50"/>
    </x:row>
    <x:row r="97">
      <x:c r="I97" s="49"/>
      <x:c r="J97" s="49"/>
      <x:c r="K97" s="49"/>
      <x:c r="L97" s="50"/>
    </x:row>
    <x:row r="98">
      <x:c r="I98" s="49"/>
      <x:c r="J98" s="49"/>
      <x:c r="K98" s="49"/>
      <x:c r="L98" s="50"/>
    </x:row>
    <x:row r="99">
      <x:c r="I99" s="49"/>
      <x:c r="J99" s="49"/>
      <x:c r="K99" s="49"/>
      <x:c r="L99" s="50"/>
    </x:row>
    <x:row r="100">
      <x:c r="I100" s="49"/>
      <x:c r="J100" s="49"/>
      <x:c r="K100" s="49"/>
      <x:c r="L100" s="50"/>
    </x:row>
    <x:row r="101">
      <x:c r="I101" s="49"/>
      <x:c r="J101" s="49"/>
      <x:c r="K101" s="49"/>
      <x:c r="L101" s="50"/>
    </x:row>
    <x:row r="102">
      <x:c r="I102" s="49"/>
      <x:c r="J102" s="49"/>
      <x:c r="K102" s="49"/>
      <x:c r="L102" s="50"/>
    </x:row>
    <x:row r="103">
      <x:c r="I103" s="49"/>
      <x:c r="J103" s="49"/>
      <x:c r="K103" s="49"/>
      <x:c r="L103" s="50"/>
    </x:row>
    <x:row r="104">
      <x:c r="I104" s="49"/>
      <x:c r="J104" s="49"/>
      <x:c r="K104" s="49"/>
      <x:c r="L104" s="50"/>
    </x:row>
    <x:row r="105">
      <x:c r="I105" s="49"/>
      <x:c r="J105" s="49"/>
      <x:c r="K105" s="49"/>
      <x:c r="L105" s="50"/>
    </x:row>
    <x:row r="106">
      <x:c r="I106" s="49"/>
      <x:c r="J106" s="49"/>
      <x:c r="K106" s="49"/>
      <x:c r="L106" s="50"/>
    </x:row>
    <x:row r="107">
      <x:c r="I107" s="49"/>
      <x:c r="J107" s="49"/>
      <x:c r="K107" s="49"/>
      <x:c r="L107" s="50"/>
    </x:row>
    <x:row r="108">
      <x:c r="I108" s="49"/>
      <x:c r="J108" s="49"/>
      <x:c r="K108" s="49"/>
      <x:c r="L108" s="50"/>
    </x:row>
    <x:row r="109">
      <x:c r="I109" s="49"/>
      <x:c r="J109" s="49"/>
      <x:c r="K109" s="49"/>
      <x:c r="L109" s="50"/>
    </x:row>
    <x:row r="110">
      <x:c r="I110" s="49"/>
      <x:c r="J110" s="49"/>
      <x:c r="K110" s="49"/>
      <x:c r="L110" s="50"/>
    </x:row>
    <x:row r="111">
      <x:c r="I111" s="49"/>
      <x:c r="J111" s="49"/>
      <x:c r="K111" s="49"/>
      <x:c r="L111" s="50"/>
    </x:row>
    <x:row r="112">
      <x:c r="I112" s="49"/>
      <x:c r="J112" s="49"/>
      <x:c r="K112" s="49"/>
      <x:c r="L112" s="50"/>
    </x:row>
    <x:row r="113">
      <x:c r="I113" s="49"/>
      <x:c r="J113" s="49"/>
      <x:c r="K113" s="49"/>
      <x:c r="L113" s="50"/>
    </x:row>
    <x:row r="114">
      <x:c r="I114" s="49"/>
      <x:c r="J114" s="49"/>
      <x:c r="K114" s="49"/>
      <x:c r="L114" s="50"/>
    </x:row>
    <x:row r="115">
      <x:c r="I115" s="49"/>
      <x:c r="J115" s="49"/>
      <x:c r="K115" s="49"/>
      <x:c r="L115" s="50"/>
    </x:row>
    <x:row r="116">
      <x:c r="I116" s="49"/>
      <x:c r="J116" s="49"/>
      <x:c r="K116" s="49"/>
      <x:c r="L116" s="50"/>
    </x:row>
    <x:row r="117">
      <x:c r="I117" s="49"/>
      <x:c r="J117" s="49"/>
      <x:c r="K117" s="49"/>
      <x:c r="L117" s="50"/>
    </x:row>
    <x:row r="118">
      <x:c r="I118" s="49"/>
      <x:c r="J118" s="49"/>
      <x:c r="K118" s="49"/>
      <x:c r="L118" s="50"/>
    </x:row>
    <x:row r="119">
      <x:c r="I119" s="49"/>
      <x:c r="J119" s="49"/>
      <x:c r="K119" s="49"/>
      <x:c r="L119" s="50"/>
    </x:row>
    <x:row r="120">
      <x:c r="I120" s="49"/>
      <x:c r="J120" s="49"/>
      <x:c r="K120" s="49"/>
      <x:c r="L120" s="50"/>
    </x:row>
    <x:row r="121">
      <x:c r="I121" s="49"/>
      <x:c r="J121" s="49"/>
      <x:c r="K121" s="49"/>
      <x:c r="L121" s="50"/>
    </x:row>
    <x:row r="122">
      <x:c r="I122" s="49"/>
      <x:c r="J122" s="49"/>
      <x:c r="K122" s="49"/>
      <x:c r="L122" s="50"/>
    </x:row>
    <x:row r="123">
      <x:c r="I123" s="49"/>
      <x:c r="J123" s="49"/>
      <x:c r="K123" s="49"/>
      <x:c r="L123" s="50"/>
    </x:row>
    <x:row r="124">
      <x:c r="I124" s="49"/>
      <x:c r="J124" s="49"/>
      <x:c r="K124" s="49"/>
      <x:c r="L124" s="50"/>
    </x:row>
    <x:row r="125">
      <x:c r="I125" s="49"/>
      <x:c r="J125" s="49"/>
      <x:c r="K125" s="49"/>
      <x:c r="L125" s="50"/>
    </x:row>
    <x:row r="126">
      <x:c r="I126" s="49"/>
      <x:c r="J126" s="49"/>
      <x:c r="K126" s="49"/>
      <x:c r="L126" s="50"/>
    </x:row>
    <x:row r="127">
      <x:c r="I127" s="49"/>
      <x:c r="J127" s="49"/>
      <x:c r="K127" s="49"/>
      <x:c r="L127" s="50"/>
    </x:row>
    <x:row r="128">
      <x:c r="I128" s="49"/>
      <x:c r="J128" s="49"/>
      <x:c r="K128" s="49"/>
      <x:c r="L128" s="50"/>
    </x:row>
    <x:row r="129">
      <x:c r="I129" s="49"/>
      <x:c r="J129" s="49"/>
      <x:c r="K129" s="49"/>
      <x:c r="L129" s="50"/>
    </x:row>
    <x:row r="130">
      <x:c r="I130" s="49"/>
      <x:c r="J130" s="49"/>
      <x:c r="K130" s="49"/>
      <x:c r="L130" s="50"/>
    </x:row>
    <x:row r="131">
      <x:c r="I131" s="49"/>
      <x:c r="J131" s="49"/>
      <x:c r="K131" s="49"/>
      <x:c r="L131" s="50"/>
    </x:row>
    <x:row r="132">
      <x:c r="I132" s="49"/>
      <x:c r="J132" s="49"/>
      <x:c r="K132" s="49"/>
      <x:c r="L132" s="50"/>
    </x:row>
    <x:row r="133">
      <x:c r="I133" s="49"/>
      <x:c r="J133" s="49"/>
      <x:c r="K133" s="49"/>
      <x:c r="L133" s="50"/>
    </x:row>
    <x:row r="134">
      <x:c r="I134" s="49"/>
      <x:c r="J134" s="49"/>
      <x:c r="K134" s="49"/>
      <x:c r="L134" s="50"/>
    </x:row>
    <x:row r="135">
      <x:c r="I135" s="49"/>
      <x:c r="J135" s="49"/>
      <x:c r="K135" s="49"/>
      <x:c r="L135" s="50"/>
    </x:row>
    <x:row r="136">
      <x:c r="I136" s="49"/>
      <x:c r="J136" s="49"/>
      <x:c r="K136" s="49"/>
      <x:c r="L136" s="50"/>
    </x:row>
    <x:row r="137">
      <x:c r="I137" s="49"/>
      <x:c r="J137" s="49"/>
      <x:c r="K137" s="49"/>
      <x:c r="L137" s="50"/>
    </x:row>
    <x:row r="138">
      <x:c r="I138" s="49"/>
      <x:c r="J138" s="49"/>
      <x:c r="K138" s="49"/>
      <x:c r="L138" s="50"/>
    </x:row>
    <x:row r="139">
      <x:c r="I139" s="49"/>
      <x:c r="J139" s="49"/>
      <x:c r="K139" s="49"/>
      <x:c r="L139" s="50"/>
    </x:row>
    <x:row r="140">
      <x:c r="I140" s="49"/>
      <x:c r="J140" s="49"/>
      <x:c r="K140" s="49"/>
      <x:c r="L140" s="50"/>
    </x:row>
    <x:row r="141">
      <x:c r="I141" s="49"/>
      <x:c r="J141" s="49"/>
      <x:c r="K141" s="49"/>
      <x:c r="L141" s="50"/>
    </x:row>
    <x:row r="142">
      <x:c r="I142" s="49"/>
      <x:c r="J142" s="49"/>
      <x:c r="K142" s="49"/>
      <x:c r="L142" s="50"/>
    </x:row>
    <x:row r="143">
      <x:c r="I143" s="49"/>
      <x:c r="J143" s="49"/>
      <x:c r="K143" s="49"/>
      <x:c r="L143" s="50"/>
    </x:row>
    <x:row r="144">
      <x:c r="I144" s="49"/>
      <x:c r="J144" s="49"/>
      <x:c r="K144" s="49"/>
      <x:c r="L144" s="50"/>
    </x:row>
    <x:row r="145">
      <x:c r="I145" s="49"/>
      <x:c r="J145" s="49"/>
      <x:c r="K145" s="49"/>
      <x:c r="L145" s="50"/>
    </x:row>
    <x:row r="146">
      <x:c r="I146" s="49"/>
      <x:c r="J146" s="49"/>
      <x:c r="K146" s="49"/>
      <x:c r="L146" s="50"/>
    </x:row>
    <x:row r="147">
      <x:c r="I147" s="49"/>
      <x:c r="J147" s="49"/>
      <x:c r="K147" s="49"/>
      <x:c r="L147" s="50"/>
    </x:row>
    <x:row r="148">
      <x:c r="I148" s="49"/>
      <x:c r="J148" s="49"/>
      <x:c r="K148" s="49"/>
      <x:c r="L148" s="50"/>
    </x:row>
    <x:row r="149">
      <x:c r="I149" s="49"/>
      <x:c r="J149" s="49"/>
      <x:c r="K149" s="49"/>
      <x:c r="L149" s="50"/>
    </x:row>
    <x:row r="150">
      <x:c r="I150" s="49"/>
      <x:c r="J150" s="49"/>
      <x:c r="K150" s="49"/>
      <x:c r="L150" s="50"/>
    </x:row>
    <x:row r="151">
      <x:c r="I151" s="49"/>
      <x:c r="J151" s="49"/>
      <x:c r="K151" s="49"/>
      <x:c r="L151" s="50"/>
    </x:row>
    <x:row r="152">
      <x:c r="I152" s="49"/>
      <x:c r="J152" s="49"/>
      <x:c r="K152" s="49"/>
      <x:c r="L152" s="50"/>
    </x:row>
    <x:row r="153">
      <x:c r="I153" s="49"/>
      <x:c r="J153" s="49"/>
      <x:c r="K153" s="49"/>
      <x:c r="L153" s="50"/>
    </x:row>
    <x:row r="154">
      <x:c r="I154" s="49"/>
      <x:c r="J154" s="49"/>
      <x:c r="K154" s="49"/>
      <x:c r="L154" s="50"/>
    </x:row>
    <x:row r="155">
      <x:c r="I155" s="49"/>
      <x:c r="J155" s="49"/>
      <x:c r="K155" s="49"/>
      <x:c r="L155" s="50"/>
    </x:row>
    <x:row r="156">
      <x:c r="I156" s="49"/>
      <x:c r="J156" s="49"/>
      <x:c r="K156" s="49"/>
      <x:c r="L156" s="50"/>
    </x:row>
    <x:row r="157">
      <x:c r="I157" s="49"/>
      <x:c r="J157" s="49"/>
      <x:c r="K157" s="49"/>
      <x:c r="L157" s="50"/>
    </x:row>
    <x:row r="158">
      <x:c r="I158" s="49"/>
      <x:c r="J158" s="49"/>
      <x:c r="K158" s="49"/>
      <x:c r="L158" s="50"/>
    </x:row>
    <x:row r="159">
      <x:c r="I159" s="49"/>
      <x:c r="J159" s="49"/>
      <x:c r="K159" s="49"/>
      <x:c r="L159" s="50"/>
    </x:row>
    <x:row r="160">
      <x:c r="I160" s="49"/>
      <x:c r="J160" s="49"/>
      <x:c r="K160" s="49"/>
      <x:c r="L160" s="50"/>
    </x:row>
    <x:row r="161">
      <x:c r="I161" s="49"/>
      <x:c r="J161" s="49"/>
      <x:c r="K161" s="49"/>
      <x:c r="L161" s="50"/>
    </x:row>
    <x:row r="162">
      <x:c r="I162" s="49"/>
      <x:c r="J162" s="49"/>
      <x:c r="K162" s="49"/>
      <x:c r="L162" s="50"/>
    </x:row>
    <x:row r="163">
      <x:c r="I163" s="49"/>
      <x:c r="J163" s="49"/>
      <x:c r="K163" s="49"/>
      <x:c r="L163" s="50"/>
    </x:row>
    <x:row r="164">
      <x:c r="I164" s="49"/>
      <x:c r="J164" s="49"/>
      <x:c r="K164" s="49"/>
      <x:c r="L164" s="50"/>
    </x:row>
    <x:row r="165">
      <x:c r="I165" s="49"/>
      <x:c r="J165" s="49"/>
      <x:c r="K165" s="49"/>
      <x:c r="L165" s="50"/>
    </x:row>
    <x:row r="166">
      <x:c r="I166" s="49"/>
      <x:c r="J166" s="49"/>
      <x:c r="K166" s="49"/>
      <x:c r="L166" s="50"/>
    </x:row>
    <x:row r="167">
      <x:c r="I167" s="49"/>
      <x:c r="J167" s="49"/>
      <x:c r="K167" s="49"/>
      <x:c r="L167" s="50"/>
    </x:row>
    <x:row r="168">
      <x:c r="I168" s="49"/>
      <x:c r="J168" s="49"/>
      <x:c r="K168" s="49"/>
      <x:c r="L168" s="50"/>
    </x:row>
    <x:row r="169">
      <x:c r="I169" s="49"/>
      <x:c r="J169" s="49"/>
      <x:c r="K169" s="49"/>
      <x:c r="L169" s="50"/>
    </x:row>
    <x:row r="170">
      <x:c r="I170" s="49"/>
      <x:c r="J170" s="49"/>
      <x:c r="K170" s="49"/>
      <x:c r="L170" s="50"/>
    </x:row>
    <x:row r="171">
      <x:c r="I171" s="49"/>
      <x:c r="J171" s="49"/>
      <x:c r="K171" s="49"/>
      <x:c r="L171" s="50"/>
    </x:row>
    <x:row r="172">
      <x:c r="I172" s="49"/>
      <x:c r="J172" s="49"/>
      <x:c r="K172" s="49"/>
      <x:c r="L172" s="50"/>
    </x:row>
    <x:row r="173">
      <x:c r="I173" s="49"/>
      <x:c r="J173" s="49"/>
      <x:c r="K173" s="49"/>
      <x:c r="L173" s="50"/>
    </x:row>
    <x:row r="174">
      <x:c r="I174" s="49"/>
      <x:c r="J174" s="49"/>
      <x:c r="K174" s="49"/>
      <x:c r="L174" s="50"/>
    </x:row>
    <x:row r="175">
      <x:c r="I175" s="49"/>
      <x:c r="J175" s="49"/>
      <x:c r="K175" s="49"/>
      <x:c r="L175" s="50"/>
    </x:row>
    <x:row r="176">
      <x:c r="I176" s="49"/>
      <x:c r="J176" s="49"/>
      <x:c r="K176" s="49"/>
      <x:c r="L176" s="50"/>
    </x:row>
    <x:row r="177">
      <x:c r="I177" s="49"/>
      <x:c r="J177" s="49"/>
      <x:c r="K177" s="49"/>
      <x:c r="L177" s="50"/>
    </x:row>
    <x:row r="178">
      <x:c r="I178" s="49"/>
      <x:c r="J178" s="49"/>
      <x:c r="K178" s="49"/>
      <x:c r="L178" s="50"/>
    </x:row>
    <x:row r="179">
      <x:c r="I179" s="49"/>
      <x:c r="J179" s="49"/>
      <x:c r="K179" s="49"/>
      <x:c r="L179" s="50"/>
    </x:row>
    <x:row r="180">
      <x:c r="I180" s="49"/>
      <x:c r="J180" s="49"/>
      <x:c r="K180" s="49"/>
      <x:c r="L180" s="50"/>
    </x:row>
    <x:row r="181">
      <x:c r="I181" s="49"/>
      <x:c r="J181" s="49"/>
      <x:c r="K181" s="49"/>
      <x:c r="L181" s="50"/>
    </x:row>
    <x:row r="182">
      <x:c r="I182" s="49"/>
      <x:c r="J182" s="49"/>
      <x:c r="K182" s="49"/>
      <x:c r="L182" s="50"/>
    </x:row>
    <x:row r="183">
      <x:c r="I183" s="49"/>
      <x:c r="J183" s="49"/>
      <x:c r="K183" s="49"/>
      <x:c r="L183" s="50"/>
    </x:row>
    <x:row r="184">
      <x:c r="I184" s="49"/>
      <x:c r="J184" s="49"/>
      <x:c r="K184" s="49"/>
      <x:c r="L184" s="50"/>
    </x:row>
    <x:row r="185">
      <x:c r="I185" s="49"/>
      <x:c r="J185" s="49"/>
      <x:c r="K185" s="49"/>
      <x:c r="L185" s="50"/>
    </x:row>
    <x:row r="186">
      <x:c r="I186" s="49"/>
      <x:c r="J186" s="49"/>
      <x:c r="K186" s="49"/>
      <x:c r="L186" s="50"/>
    </x:row>
    <x:row r="187">
      <x:c r="I187" s="49"/>
      <x:c r="J187" s="49"/>
      <x:c r="K187" s="49"/>
      <x:c r="L187" s="50"/>
    </x:row>
    <x:row r="188">
      <x:c r="I188" s="49"/>
      <x:c r="J188" s="49"/>
      <x:c r="K188" s="49"/>
      <x:c r="L188" s="50"/>
    </x:row>
    <x:row r="189">
      <x:c r="I189" s="49"/>
      <x:c r="J189" s="49"/>
      <x:c r="K189" s="49"/>
      <x:c r="L189" s="50"/>
    </x:row>
    <x:row r="190">
      <x:c r="I190" s="49"/>
      <x:c r="J190" s="49"/>
      <x:c r="K190" s="49"/>
      <x:c r="L190" s="50"/>
    </x:row>
    <x:row r="191">
      <x:c r="I191" s="49"/>
      <x:c r="J191" s="49"/>
      <x:c r="K191" s="49"/>
      <x:c r="L191" s="50"/>
    </x:row>
    <x:row r="192">
      <x:c r="I192" s="49"/>
      <x:c r="J192" s="49"/>
      <x:c r="K192" s="49"/>
      <x:c r="L192" s="50"/>
    </x:row>
    <x:row r="193">
      <x:c r="I193" s="49"/>
      <x:c r="J193" s="49"/>
      <x:c r="K193" s="49"/>
      <x:c r="L193" s="50"/>
    </x:row>
    <x:row r="194">
      <x:c r="I194" s="49"/>
      <x:c r="J194" s="49"/>
      <x:c r="K194" s="49"/>
      <x:c r="L194" s="50"/>
    </x:row>
    <x:row r="195">
      <x:c r="I195" s="49"/>
      <x:c r="J195" s="49"/>
      <x:c r="K195" s="49"/>
      <x:c r="L195" s="50"/>
    </x:row>
    <x:row r="196">
      <x:c r="I196" s="49"/>
      <x:c r="J196" s="49"/>
      <x:c r="K196" s="49"/>
      <x:c r="L196" s="50"/>
    </x:row>
    <x:row r="197">
      <x:c r="I197" s="49"/>
      <x:c r="J197" s="49"/>
      <x:c r="K197" s="49"/>
      <x:c r="L197" s="50"/>
    </x:row>
    <x:row r="198">
      <x:c r="I198" s="49"/>
      <x:c r="J198" s="49"/>
      <x:c r="K198" s="49"/>
      <x:c r="L198" s="50"/>
    </x:row>
    <x:row r="199">
      <x:c r="I199" s="49"/>
      <x:c r="J199" s="49"/>
      <x:c r="K199" s="49"/>
      <x:c r="L199" s="50"/>
    </x:row>
    <x:row r="200">
      <x:c r="I200" s="49"/>
      <x:c r="J200" s="49"/>
      <x:c r="K200" s="49"/>
      <x:c r="L200" s="50"/>
    </x:row>
    <x:row r="201">
      <x:c r="I201" s="49"/>
      <x:c r="J201" s="49"/>
      <x:c r="K201" s="49"/>
      <x:c r="L201" s="50"/>
    </x:row>
    <x:row r="202">
      <x:c r="I202" s="49"/>
      <x:c r="J202" s="49"/>
      <x:c r="K202" s="49"/>
      <x:c r="L202" s="50"/>
    </x:row>
    <x:row r="203">
      <x:c r="I203" s="49"/>
      <x:c r="J203" s="49"/>
      <x:c r="K203" s="49"/>
      <x:c r="L203" s="50"/>
    </x:row>
    <x:row r="204">
      <x:c r="I204" s="49"/>
      <x:c r="J204" s="49"/>
      <x:c r="K204" s="49"/>
      <x:c r="L204" s="50"/>
    </x:row>
    <x:row r="205">
      <x:c r="I205" s="49"/>
      <x:c r="J205" s="49"/>
      <x:c r="K205" s="49"/>
      <x:c r="L205" s="50"/>
    </x:row>
    <x:row r="206">
      <x:c r="I206" s="49"/>
      <x:c r="J206" s="49"/>
      <x:c r="K206" s="49"/>
      <x:c r="L206" s="50"/>
    </x:row>
    <x:row r="207">
      <x:c r="I207" s="49"/>
      <x:c r="J207" s="49"/>
      <x:c r="K207" s="49"/>
      <x:c r="L207" s="50"/>
    </x:row>
    <x:row r="208">
      <x:c r="I208" s="49"/>
      <x:c r="J208" s="49"/>
      <x:c r="K208" s="49"/>
      <x:c r="L208" s="50"/>
    </x:row>
    <x:row r="209">
      <x:c r="I209" s="49"/>
      <x:c r="J209" s="49"/>
      <x:c r="K209" s="49"/>
      <x:c r="L209" s="50"/>
    </x:row>
    <x:row r="210">
      <x:c r="I210" s="49"/>
      <x:c r="J210" s="49"/>
      <x:c r="K210" s="49"/>
      <x:c r="L210" s="50"/>
    </x:row>
    <x:row r="211">
      <x:c r="I211" s="49"/>
      <x:c r="J211" s="49"/>
      <x:c r="K211" s="49"/>
      <x:c r="L211" s="50"/>
    </x:row>
    <x:row r="212">
      <x:c r="I212" s="49"/>
      <x:c r="J212" s="49"/>
      <x:c r="K212" s="49"/>
      <x:c r="L212" s="50"/>
    </x:row>
    <x:row r="213">
      <x:c r="I213" s="49"/>
      <x:c r="J213" s="49"/>
      <x:c r="K213" s="49"/>
      <x:c r="L213" s="50"/>
    </x:row>
    <x:row r="214">
      <x:c r="I214" s="49"/>
      <x:c r="J214" s="49"/>
      <x:c r="K214" s="49"/>
      <x:c r="L214" s="50"/>
    </x:row>
    <x:row r="215">
      <x:c r="I215" s="49"/>
      <x:c r="J215" s="49"/>
      <x:c r="K215" s="49"/>
      <x:c r="L215" s="50"/>
    </x:row>
    <x:row r="216">
      <x:c r="I216" s="49"/>
      <x:c r="J216" s="49"/>
      <x:c r="K216" s="49"/>
      <x:c r="L216" s="50"/>
    </x:row>
    <x:row r="217">
      <x:c r="I217" s="49"/>
      <x:c r="J217" s="49"/>
      <x:c r="K217" s="49"/>
      <x:c r="L217" s="50"/>
    </x:row>
    <x:row r="218">
      <x:c r="I218" s="49"/>
      <x:c r="J218" s="49"/>
      <x:c r="K218" s="49"/>
      <x:c r="L218" s="50"/>
    </x:row>
    <x:row r="219">
      <x:c r="I219" s="49"/>
      <x:c r="J219" s="49"/>
      <x:c r="K219" s="49"/>
      <x:c r="L219" s="50"/>
    </x:row>
    <x:row r="220">
      <x:c r="I220" s="49"/>
      <x:c r="J220" s="49"/>
      <x:c r="K220" s="49"/>
      <x:c r="L220" s="50"/>
    </x:row>
    <x:row r="221">
      <x:c r="I221" s="49"/>
      <x:c r="J221" s="49"/>
      <x:c r="K221" s="49"/>
      <x:c r="L221" s="50"/>
    </x:row>
    <x:row r="222">
      <x:c r="I222" s="49"/>
      <x:c r="J222" s="49"/>
      <x:c r="K222" s="49"/>
      <x:c r="L222" s="50"/>
    </x:row>
    <x:row r="223">
      <x:c r="I223" s="49"/>
      <x:c r="J223" s="49"/>
      <x:c r="K223" s="49"/>
      <x:c r="L223" s="50"/>
    </x:row>
    <x:row r="224">
      <x:c r="I224" s="49"/>
      <x:c r="J224" s="49"/>
      <x:c r="K224" s="49"/>
      <x:c r="L224" s="50"/>
    </x:row>
    <x:row r="225">
      <x:c r="I225" s="49"/>
      <x:c r="J225" s="49"/>
      <x:c r="K225" s="49"/>
      <x:c r="L225" s="50"/>
    </x:row>
    <x:row r="226">
      <x:c r="I226" s="49"/>
      <x:c r="J226" s="49"/>
      <x:c r="K226" s="49"/>
      <x:c r="L226" s="50"/>
    </x:row>
    <x:row r="227">
      <x:c r="I227" s="49"/>
      <x:c r="J227" s="49"/>
      <x:c r="K227" s="49"/>
      <x:c r="L227" s="50"/>
    </x:row>
    <x:row r="228">
      <x:c r="I228" s="49"/>
      <x:c r="J228" s="49"/>
      <x:c r="K228" s="49"/>
      <x:c r="L228" s="50"/>
    </x:row>
    <x:row r="229">
      <x:c r="I229" s="49"/>
      <x:c r="J229" s="49"/>
      <x:c r="K229" s="49"/>
      <x:c r="L229" s="50"/>
    </x:row>
    <x:row r="230">
      <x:c r="I230" s="49"/>
      <x:c r="J230" s="49"/>
      <x:c r="K230" s="49"/>
      <x:c r="L230" s="50"/>
    </x:row>
    <x:row r="231">
      <x:c r="I231" s="49"/>
      <x:c r="J231" s="49"/>
      <x:c r="K231" s="49"/>
      <x:c r="L231" s="50"/>
    </x:row>
    <x:row r="232">
      <x:c r="I232" s="49"/>
      <x:c r="J232" s="49"/>
      <x:c r="K232" s="49"/>
      <x:c r="L232" s="50"/>
    </x:row>
    <x:row r="233">
      <x:c r="I233" s="49"/>
      <x:c r="J233" s="49"/>
      <x:c r="K233" s="49"/>
      <x:c r="L233" s="50"/>
    </x:row>
    <x:row r="234">
      <x:c r="I234" s="49"/>
      <x:c r="J234" s="49"/>
      <x:c r="K234" s="49"/>
      <x:c r="L234" s="50"/>
    </x:row>
    <x:row r="235">
      <x:c r="I235" s="49"/>
      <x:c r="J235" s="49"/>
      <x:c r="K235" s="49"/>
      <x:c r="L235" s="50"/>
    </x:row>
    <x:row r="236">
      <x:c r="I236" s="49"/>
      <x:c r="J236" s="49"/>
      <x:c r="K236" s="49"/>
      <x:c r="L236" s="50"/>
    </x:row>
    <x:row r="237">
      <x:c r="I237" s="49"/>
      <x:c r="J237" s="49"/>
      <x:c r="K237" s="49"/>
      <x:c r="L237" s="50"/>
    </x:row>
    <x:row r="238">
      <x:c r="I238" s="49"/>
      <x:c r="J238" s="49"/>
      <x:c r="K238" s="49"/>
      <x:c r="L238" s="50"/>
    </x:row>
    <x:row r="239">
      <x:c r="I239" s="49"/>
      <x:c r="J239" s="49"/>
      <x:c r="K239" s="49"/>
      <x:c r="L239" s="50"/>
    </x:row>
    <x:row r="240">
      <x:c r="I240" s="49"/>
      <x:c r="J240" s="49"/>
      <x:c r="K240" s="49"/>
      <x:c r="L240" s="50"/>
    </x:row>
    <x:row r="241">
      <x:c r="I241" s="49"/>
      <x:c r="J241" s="49"/>
      <x:c r="K241" s="49"/>
      <x:c r="L241" s="50"/>
    </x:row>
    <x:row r="242">
      <x:c r="I242" s="49"/>
      <x:c r="J242" s="49"/>
      <x:c r="K242" s="49"/>
      <x:c r="L242" s="50"/>
    </x:row>
    <x:row r="243">
      <x:c r="I243" s="49"/>
      <x:c r="J243" s="49"/>
      <x:c r="K243" s="49"/>
      <x:c r="L243" s="50"/>
    </x:row>
    <x:row r="244">
      <x:c r="I244" s="49"/>
      <x:c r="J244" s="49"/>
      <x:c r="K244" s="49"/>
      <x:c r="L244" s="50"/>
    </x:row>
    <x:row r="245">
      <x:c r="I245" s="49"/>
      <x:c r="J245" s="49"/>
      <x:c r="K245" s="49"/>
      <x:c r="L245" s="50"/>
    </x:row>
    <x:row r="246">
      <x:c r="I246" s="49"/>
      <x:c r="J246" s="49"/>
      <x:c r="K246" s="49"/>
      <x:c r="L246" s="50"/>
    </x:row>
    <x:row r="247">
      <x:c r="I247" s="49"/>
      <x:c r="J247" s="49"/>
      <x:c r="K247" s="49"/>
      <x:c r="L247" s="50"/>
    </x:row>
    <x:row r="248">
      <x:c r="I248" s="49"/>
      <x:c r="J248" s="49"/>
      <x:c r="K248" s="49"/>
      <x:c r="L248" s="50"/>
    </x:row>
    <x:row r="249">
      <x:c r="I249" s="49"/>
      <x:c r="J249" s="49"/>
      <x:c r="K249" s="49"/>
      <x:c r="L249" s="50"/>
    </x:row>
    <x:row r="250">
      <x:c r="I250" s="49"/>
      <x:c r="J250" s="49"/>
      <x:c r="K250" s="49"/>
      <x:c r="L250" s="50"/>
    </x:row>
    <x:row r="251">
      <x:c r="I251" s="49"/>
      <x:c r="J251" s="49"/>
      <x:c r="K251" s="49"/>
      <x:c r="L251" s="50"/>
    </x:row>
    <x:row r="252">
      <x:c r="I252" s="49"/>
      <x:c r="J252" s="49"/>
      <x:c r="K252" s="49"/>
      <x:c r="L252" s="50"/>
    </x:row>
    <x:row r="253">
      <x:c r="I253" s="49"/>
      <x:c r="J253" s="49"/>
      <x:c r="K253" s="49"/>
      <x:c r="L253" s="50"/>
    </x:row>
    <x:row r="254">
      <x:c r="I254" s="49"/>
      <x:c r="J254" s="49"/>
      <x:c r="K254" s="49"/>
      <x:c r="L254" s="50"/>
    </x:row>
    <x:row r="255">
      <x:c r="I255" s="49"/>
      <x:c r="J255" s="49"/>
      <x:c r="K255" s="49"/>
      <x:c r="L255" s="50"/>
    </x:row>
    <x:row r="256">
      <x:c r="I256" s="49"/>
      <x:c r="J256" s="49"/>
      <x:c r="K256" s="49"/>
      <x:c r="L256" s="50"/>
    </x:row>
    <x:row r="257">
      <x:c r="I257" s="49"/>
      <x:c r="J257" s="49"/>
      <x:c r="K257" s="49"/>
      <x:c r="L257" s="50"/>
    </x:row>
    <x:row r="258">
      <x:c r="I258" s="49"/>
      <x:c r="J258" s="49"/>
      <x:c r="K258" s="49"/>
      <x:c r="L258" s="50"/>
    </x:row>
    <x:row r="259">
      <x:c r="I259" s="49"/>
      <x:c r="J259" s="49"/>
      <x:c r="K259" s="49"/>
      <x:c r="L259" s="50"/>
    </x:row>
    <x:row r="260">
      <x:c r="I260" s="49"/>
      <x:c r="J260" s="49"/>
      <x:c r="K260" s="49"/>
      <x:c r="L260" s="50"/>
    </x:row>
    <x:row r="261">
      <x:c r="I261" s="49"/>
      <x:c r="J261" s="49"/>
      <x:c r="K261" s="49"/>
      <x:c r="L261" s="50"/>
    </x:row>
    <x:row r="262">
      <x:c r="I262" s="49"/>
      <x:c r="J262" s="49"/>
      <x:c r="K262" s="49"/>
      <x:c r="L262" s="50"/>
    </x:row>
    <x:row r="263">
      <x:c r="I263" s="49"/>
      <x:c r="J263" s="49"/>
      <x:c r="K263" s="49"/>
      <x:c r="L263" s="50"/>
    </x:row>
    <x:row r="264">
      <x:c r="I264" s="49"/>
      <x:c r="J264" s="49"/>
      <x:c r="K264" s="49"/>
      <x:c r="L264" s="50"/>
    </x:row>
    <x:row r="265">
      <x:c r="I265" s="49"/>
      <x:c r="J265" s="49"/>
      <x:c r="K265" s="49"/>
      <x:c r="L265" s="50"/>
    </x:row>
    <x:row r="266">
      <x:c r="I266" s="49"/>
      <x:c r="J266" s="49"/>
      <x:c r="K266" s="49"/>
      <x:c r="L266" s="50"/>
    </x:row>
    <x:row r="267">
      <x:c r="I267" s="49"/>
      <x:c r="J267" s="49"/>
      <x:c r="K267" s="49"/>
      <x:c r="L267" s="50"/>
    </x:row>
    <x:row r="268">
      <x:c r="I268" s="49"/>
      <x:c r="J268" s="49"/>
      <x:c r="K268" s="49"/>
      <x:c r="L268" s="50"/>
    </x:row>
    <x:row r="269">
      <x:c r="I269" s="49"/>
      <x:c r="J269" s="49"/>
      <x:c r="K269" s="49"/>
      <x:c r="L269" s="50"/>
    </x:row>
    <x:row r="270">
      <x:c r="I270" s="49"/>
      <x:c r="J270" s="49"/>
      <x:c r="K270" s="49"/>
      <x:c r="L270" s="50"/>
    </x:row>
    <x:row r="271">
      <x:c r="I271" s="49"/>
      <x:c r="J271" s="49"/>
      <x:c r="K271" s="49"/>
      <x:c r="L271" s="50"/>
    </x:row>
    <x:row r="272">
      <x:c r="I272" s="49"/>
      <x:c r="J272" s="49"/>
      <x:c r="K272" s="49"/>
      <x:c r="L272" s="50"/>
    </x:row>
    <x:row r="273">
      <x:c r="I273" s="49"/>
      <x:c r="J273" s="49"/>
      <x:c r="K273" s="49"/>
      <x:c r="L273" s="50"/>
    </x:row>
    <x:row r="274">
      <x:c r="I274" s="49"/>
      <x:c r="J274" s="49"/>
      <x:c r="K274" s="49"/>
      <x:c r="L274" s="50"/>
    </x:row>
    <x:row r="275">
      <x:c r="I275" s="49"/>
      <x:c r="J275" s="49"/>
      <x:c r="K275" s="49"/>
      <x:c r="L275" s="50"/>
    </x:row>
    <x:row r="276">
      <x:c r="I276" s="49"/>
      <x:c r="J276" s="49"/>
      <x:c r="K276" s="49"/>
      <x:c r="L276" s="50"/>
    </x:row>
    <x:row r="277">
      <x:c r="I277" s="49"/>
      <x:c r="J277" s="49"/>
      <x:c r="K277" s="49"/>
      <x:c r="L277" s="50"/>
    </x:row>
    <x:row r="278">
      <x:c r="I278" s="49"/>
      <x:c r="J278" s="49"/>
      <x:c r="K278" s="49"/>
      <x:c r="L278" s="50"/>
    </x:row>
    <x:row r="279">
      <x:c r="I279" s="49"/>
      <x:c r="J279" s="49"/>
      <x:c r="K279" s="49"/>
      <x:c r="L279" s="50"/>
    </x:row>
    <x:row r="280">
      <x:c r="I280" s="49"/>
      <x:c r="J280" s="49"/>
      <x:c r="K280" s="49"/>
      <x:c r="L280" s="50"/>
    </x:row>
    <x:row r="281">
      <x:c r="I281" s="49"/>
      <x:c r="J281" s="49"/>
      <x:c r="K281" s="49"/>
      <x:c r="L281" s="50"/>
    </x:row>
    <x:row r="282">
      <x:c r="I282" s="49"/>
      <x:c r="J282" s="49"/>
      <x:c r="K282" s="49"/>
      <x:c r="L282" s="50"/>
    </x:row>
    <x:row r="283">
      <x:c r="I283" s="49"/>
      <x:c r="J283" s="49"/>
      <x:c r="K283" s="49"/>
      <x:c r="L283" s="50"/>
    </x:row>
    <x:row r="284">
      <x:c r="I284" s="49"/>
      <x:c r="J284" s="49"/>
      <x:c r="K284" s="49"/>
      <x:c r="L284" s="50"/>
    </x:row>
    <x:row r="285">
      <x:c r="I285" s="49"/>
      <x:c r="J285" s="49"/>
      <x:c r="K285" s="49"/>
      <x:c r="L285" s="50"/>
    </x:row>
    <x:row r="286">
      <x:c r="I286" s="49"/>
      <x:c r="J286" s="49"/>
      <x:c r="K286" s="49"/>
      <x:c r="L286" s="50"/>
    </x:row>
    <x:row r="287">
      <x:c r="I287" s="49"/>
      <x:c r="J287" s="49"/>
      <x:c r="K287" s="49"/>
      <x:c r="L287" s="50"/>
    </x:row>
    <x:row r="288">
      <x:c r="I288" s="49"/>
      <x:c r="J288" s="49"/>
      <x:c r="K288" s="49"/>
      <x:c r="L288" s="50"/>
    </x:row>
    <x:row r="289">
      <x:c r="I289" s="49"/>
      <x:c r="J289" s="49"/>
      <x:c r="K289" s="49"/>
      <x:c r="L289" s="50"/>
    </x:row>
    <x:row r="290">
      <x:c r="I290" s="49"/>
      <x:c r="J290" s="49"/>
      <x:c r="K290" s="49"/>
      <x:c r="L290" s="50"/>
    </x:row>
    <x:row r="291">
      <x:c r="I291" s="49"/>
      <x:c r="J291" s="49"/>
      <x:c r="K291" s="49"/>
      <x:c r="L291" s="50"/>
    </x:row>
    <x:row r="292">
      <x:c r="I292" s="49"/>
      <x:c r="J292" s="49"/>
      <x:c r="K292" s="49"/>
      <x:c r="L292" s="50"/>
    </x:row>
    <x:row r="293">
      <x:c r="I293" s="49"/>
      <x:c r="J293" s="49"/>
      <x:c r="K293" s="49"/>
      <x:c r="L293" s="50"/>
    </x:row>
    <x:row r="294">
      <x:c r="I294" s="49"/>
      <x:c r="J294" s="49"/>
      <x:c r="K294" s="49"/>
      <x:c r="L294" s="50"/>
    </x:row>
    <x:row r="295">
      <x:c r="I295" s="49"/>
      <x:c r="J295" s="49"/>
      <x:c r="K295" s="49"/>
      <x:c r="L295" s="50"/>
    </x:row>
    <x:row r="296">
      <x:c r="I296" s="49"/>
      <x:c r="J296" s="49"/>
      <x:c r="K296" s="49"/>
      <x:c r="L296" s="50"/>
    </x:row>
    <x:row r="297">
      <x:c r="I297" s="49"/>
      <x:c r="J297" s="49"/>
      <x:c r="K297" s="49"/>
      <x:c r="L297" s="50"/>
    </x:row>
    <x:row r="298">
      <x:c r="I298" s="49"/>
      <x:c r="J298" s="49"/>
      <x:c r="K298" s="49"/>
      <x:c r="L298" s="50"/>
    </x:row>
    <x:row r="299">
      <x:c r="I299" s="49"/>
      <x:c r="J299" s="49"/>
      <x:c r="K299" s="49"/>
      <x:c r="L299" s="50"/>
    </x:row>
    <x:row r="300">
      <x:c r="I300" s="49"/>
      <x:c r="J300" s="49"/>
      <x:c r="K300" s="49"/>
      <x:c r="L300" s="50"/>
    </x:row>
    <x:row r="301">
      <x:c r="I301" s="49"/>
      <x:c r="J301" s="49"/>
      <x:c r="K301" s="49"/>
      <x:c r="L301" s="50"/>
    </x:row>
    <x:row r="302">
      <x:c r="I302" s="49"/>
      <x:c r="J302" s="49"/>
      <x:c r="K302" s="49"/>
      <x:c r="L302" s="50"/>
    </x:row>
    <x:row r="303">
      <x:c r="I303" s="49"/>
      <x:c r="J303" s="49"/>
      <x:c r="K303" s="49"/>
      <x:c r="L303" s="50"/>
    </x:row>
    <x:row r="304">
      <x:c r="I304" s="49"/>
      <x:c r="J304" s="49"/>
      <x:c r="K304" s="49"/>
      <x:c r="L304" s="50"/>
    </x:row>
    <x:row r="305">
      <x:c r="I305" s="49"/>
      <x:c r="J305" s="49"/>
      <x:c r="K305" s="49"/>
      <x:c r="L305" s="50"/>
    </x:row>
    <x:row r="306">
      <x:c r="I306" s="49"/>
      <x:c r="J306" s="49"/>
      <x:c r="K306" s="49"/>
      <x:c r="L306" s="50"/>
    </x:row>
    <x:row r="307">
      <x:c r="I307" s="49"/>
      <x:c r="J307" s="49"/>
      <x:c r="K307" s="49"/>
      <x:c r="L307" s="50"/>
    </x:row>
    <x:row r="308">
      <x:c r="I308" s="49"/>
      <x:c r="J308" s="49"/>
      <x:c r="K308" s="49"/>
      <x:c r="L308" s="50"/>
    </x:row>
    <x:row r="309">
      <x:c r="I309" s="49"/>
      <x:c r="J309" s="49"/>
      <x:c r="K309" s="49"/>
      <x:c r="L309" s="50"/>
    </x:row>
    <x:row r="310">
      <x:c r="I310" s="49"/>
      <x:c r="J310" s="49"/>
      <x:c r="K310" s="49"/>
      <x:c r="L310" s="50"/>
    </x:row>
    <x:row r="311">
      <x:c r="I311" s="49"/>
      <x:c r="J311" s="49"/>
      <x:c r="K311" s="49"/>
      <x:c r="L311" s="50"/>
    </x:row>
    <x:row r="312">
      <x:c r="I312" s="49"/>
      <x:c r="J312" s="49"/>
      <x:c r="K312" s="49"/>
      <x:c r="L312" s="50"/>
    </x:row>
    <x:row r="313">
      <x:c r="I313" s="49"/>
      <x:c r="J313" s="49"/>
      <x:c r="K313" s="49"/>
      <x:c r="L313" s="50"/>
    </x:row>
    <x:row r="314">
      <x:c r="I314" s="49"/>
      <x:c r="J314" s="49"/>
      <x:c r="K314" s="49"/>
      <x:c r="L314" s="50"/>
    </x:row>
    <x:row r="315">
      <x:c r="I315" s="49"/>
      <x:c r="J315" s="49"/>
      <x:c r="K315" s="49"/>
      <x:c r="L315" s="50"/>
    </x:row>
    <x:row r="316">
      <x:c r="I316" s="49"/>
      <x:c r="J316" s="49"/>
      <x:c r="K316" s="49"/>
      <x:c r="L316" s="50"/>
    </x:row>
    <x:row r="317">
      <x:c r="I317" s="49"/>
      <x:c r="J317" s="49"/>
      <x:c r="K317" s="49"/>
      <x:c r="L317" s="50"/>
    </x:row>
    <x:row r="318">
      <x:c r="I318" s="49"/>
      <x:c r="J318" s="49"/>
      <x:c r="K318" s="49"/>
      <x:c r="L318" s="50"/>
    </x:row>
    <x:row r="319">
      <x:c r="I319" s="49"/>
      <x:c r="J319" s="49"/>
      <x:c r="K319" s="49"/>
      <x:c r="L319" s="50"/>
    </x:row>
    <x:row r="320">
      <x:c r="I320" s="49"/>
      <x:c r="J320" s="49"/>
      <x:c r="K320" s="49"/>
      <x:c r="L320" s="50"/>
    </x:row>
    <x:row r="321">
      <x:c r="I321" s="49"/>
      <x:c r="J321" s="49"/>
      <x:c r="K321" s="49"/>
      <x:c r="L321" s="50"/>
    </x:row>
    <x:row r="322">
      <x:c r="I322" s="49"/>
      <x:c r="J322" s="49"/>
      <x:c r="K322" s="49"/>
      <x:c r="L322" s="50"/>
    </x:row>
    <x:row r="323">
      <x:c r="I323" s="49"/>
      <x:c r="J323" s="49"/>
      <x:c r="K323" s="49"/>
      <x:c r="L323" s="50"/>
    </x:row>
    <x:row r="324">
      <x:c r="I324" s="49"/>
      <x:c r="J324" s="49"/>
      <x:c r="K324" s="49"/>
      <x:c r="L324" s="50"/>
    </x:row>
    <x:row r="325">
      <x:c r="I325" s="49"/>
      <x:c r="J325" s="49"/>
      <x:c r="K325" s="49"/>
      <x:c r="L325" s="50"/>
    </x:row>
    <x:row r="326">
      <x:c r="I326" s="49"/>
      <x:c r="J326" s="49"/>
      <x:c r="K326" s="49"/>
      <x:c r="L326" s="50"/>
    </x:row>
    <x:row r="327">
      <x:c r="I327" s="49"/>
      <x:c r="J327" s="49"/>
      <x:c r="K327" s="49"/>
      <x:c r="L327" s="50"/>
    </x:row>
    <x:row r="328">
      <x:c r="I328" s="49"/>
      <x:c r="J328" s="49"/>
      <x:c r="K328" s="49"/>
      <x:c r="L328" s="50"/>
    </x:row>
    <x:row r="329">
      <x:c r="I329" s="49"/>
      <x:c r="J329" s="49"/>
      <x:c r="K329" s="49"/>
      <x:c r="L329" s="50"/>
    </x:row>
    <x:row r="330">
      <x:c r="I330" s="49"/>
      <x:c r="J330" s="49"/>
      <x:c r="K330" s="49"/>
      <x:c r="L330" s="50"/>
    </x:row>
    <x:row r="331">
      <x:c r="I331" s="49"/>
      <x:c r="J331" s="49"/>
      <x:c r="K331" s="49"/>
      <x:c r="L331" s="50"/>
    </x:row>
    <x:row r="332">
      <x:c r="I332" s="49"/>
      <x:c r="J332" s="49"/>
      <x:c r="K332" s="49"/>
      <x:c r="L332" s="50"/>
    </x:row>
    <x:row r="333">
      <x:c r="I333" s="49"/>
      <x:c r="J333" s="49"/>
      <x:c r="K333" s="49"/>
      <x:c r="L333" s="50"/>
    </x:row>
    <x:row r="334">
      <x:c r="I334" s="49"/>
      <x:c r="J334" s="49"/>
      <x:c r="K334" s="49"/>
      <x:c r="L334" s="50"/>
    </x:row>
    <x:row r="335">
      <x:c r="I335" s="49"/>
      <x:c r="J335" s="49"/>
      <x:c r="K335" s="49"/>
      <x:c r="L335" s="50"/>
    </x:row>
    <x:row r="336">
      <x:c r="I336" s="49"/>
      <x:c r="J336" s="49"/>
      <x:c r="K336" s="49"/>
      <x:c r="L336" s="50"/>
    </x:row>
    <x:row r="337">
      <x:c r="I337" s="49"/>
      <x:c r="J337" s="49"/>
      <x:c r="K337" s="49"/>
      <x:c r="L337" s="50"/>
    </x:row>
    <x:row r="338">
      <x:c r="I338" s="49"/>
      <x:c r="J338" s="49"/>
      <x:c r="K338" s="49"/>
      <x:c r="L338" s="50"/>
    </x:row>
    <x:row r="339">
      <x:c r="I339" s="49"/>
      <x:c r="J339" s="49"/>
      <x:c r="K339" s="49"/>
      <x:c r="L339" s="50"/>
    </x:row>
    <x:row r="340">
      <x:c r="I340" s="49"/>
      <x:c r="J340" s="49"/>
      <x:c r="K340" s="49"/>
      <x:c r="L340" s="50"/>
    </x:row>
    <x:row r="341">
      <x:c r="I341" s="49"/>
      <x:c r="J341" s="49"/>
      <x:c r="K341" s="49"/>
      <x:c r="L341" s="50"/>
    </x:row>
    <x:row r="342">
      <x:c r="I342" s="49"/>
      <x:c r="J342" s="49"/>
      <x:c r="K342" s="49"/>
      <x:c r="L342" s="50"/>
    </x:row>
    <x:row r="343">
      <x:c r="I343" s="49"/>
      <x:c r="J343" s="49"/>
      <x:c r="K343" s="49"/>
      <x:c r="L343" s="50"/>
    </x:row>
    <x:row r="344">
      <x:c r="I344" s="49"/>
      <x:c r="J344" s="49"/>
      <x:c r="K344" s="49"/>
      <x:c r="L344" s="50"/>
    </x:row>
    <x:row r="345">
      <x:c r="I345" s="49"/>
      <x:c r="J345" s="49"/>
      <x:c r="K345" s="49"/>
      <x:c r="L345" s="50"/>
    </x:row>
    <x:row r="346">
      <x:c r="I346" s="49"/>
      <x:c r="J346" s="49"/>
      <x:c r="K346" s="49"/>
      <x:c r="L346" s="50"/>
    </x:row>
    <x:row r="347">
      <x:c r="I347" s="49"/>
      <x:c r="J347" s="49"/>
      <x:c r="K347" s="49"/>
      <x:c r="L347" s="50"/>
    </x:row>
    <x:row r="348">
      <x:c r="I348" s="49"/>
      <x:c r="J348" s="49"/>
      <x:c r="K348" s="49"/>
      <x:c r="L348" s="50"/>
    </x:row>
    <x:row r="349">
      <x:c r="I349" s="49"/>
      <x:c r="J349" s="49"/>
      <x:c r="K349" s="49"/>
      <x:c r="L349" s="50"/>
    </x:row>
    <x:row r="350">
      <x:c r="I350" s="49"/>
      <x:c r="J350" s="49"/>
      <x:c r="K350" s="49"/>
      <x:c r="L350" s="50"/>
    </x:row>
    <x:row r="351">
      <x:c r="I351" s="49"/>
      <x:c r="J351" s="49"/>
      <x:c r="K351" s="49"/>
      <x:c r="L351" s="50"/>
    </x:row>
    <x:row r="352">
      <x:c r="I352" s="49"/>
      <x:c r="J352" s="49"/>
      <x:c r="K352" s="49"/>
      <x:c r="L352" s="50"/>
    </x:row>
    <x:row r="353">
      <x:c r="I353" s="49"/>
      <x:c r="J353" s="49"/>
      <x:c r="K353" s="49"/>
      <x:c r="L353" s="50"/>
    </x:row>
    <x:row r="354">
      <x:c r="I354" s="49"/>
      <x:c r="J354" s="49"/>
      <x:c r="K354" s="49"/>
      <x:c r="L354" s="50"/>
    </x:row>
    <x:row r="355">
      <x:c r="I355" s="49"/>
      <x:c r="J355" s="49"/>
      <x:c r="K355" s="49"/>
      <x:c r="L355" s="50"/>
    </x:row>
    <x:row r="356">
      <x:c r="I356" s="49"/>
      <x:c r="J356" s="49"/>
      <x:c r="K356" s="49"/>
      <x:c r="L356" s="50"/>
    </x:row>
    <x:row r="357">
      <x:c r="I357" s="49"/>
      <x:c r="J357" s="49"/>
      <x:c r="K357" s="49"/>
      <x:c r="L357" s="50"/>
    </x:row>
    <x:row r="358">
      <x:c r="I358" s="49"/>
      <x:c r="J358" s="49"/>
      <x:c r="K358" s="49"/>
      <x:c r="L358" s="50"/>
    </x:row>
    <x:row r="359">
      <x:c r="I359" s="49"/>
      <x:c r="J359" s="49"/>
      <x:c r="K359" s="49"/>
      <x:c r="L359" s="50"/>
    </x:row>
    <x:row r="360">
      <x:c r="I360" s="49"/>
      <x:c r="J360" s="49"/>
      <x:c r="K360" s="49"/>
      <x:c r="L360" s="50"/>
    </x:row>
    <x:row r="361">
      <x:c r="I361" s="49"/>
      <x:c r="J361" s="49"/>
      <x:c r="K361" s="49"/>
      <x:c r="L361" s="50"/>
    </x:row>
    <x:row r="362">
      <x:c r="I362" s="49"/>
      <x:c r="J362" s="49"/>
      <x:c r="K362" s="49"/>
      <x:c r="L362" s="50"/>
    </x:row>
    <x:row r="363">
      <x:c r="I363" s="49"/>
      <x:c r="J363" s="49"/>
      <x:c r="K363" s="49"/>
      <x:c r="L363" s="50"/>
    </x:row>
    <x:row r="364">
      <x:c r="I364" s="49"/>
      <x:c r="J364" s="49"/>
      <x:c r="K364" s="49"/>
      <x:c r="L364" s="50"/>
    </x:row>
    <x:row r="365">
      <x:c r="I365" s="49"/>
      <x:c r="J365" s="49"/>
      <x:c r="K365" s="49"/>
      <x:c r="L365" s="50"/>
    </x:row>
    <x:row r="366">
      <x:c r="I366" s="49"/>
      <x:c r="J366" s="49"/>
      <x:c r="K366" s="49"/>
      <x:c r="L366" s="50"/>
    </x:row>
    <x:row r="367">
      <x:c r="I367" s="49"/>
      <x:c r="J367" s="49"/>
      <x:c r="K367" s="49"/>
      <x:c r="L367" s="50"/>
    </x:row>
    <x:row r="368">
      <x:c r="I368" s="49"/>
      <x:c r="J368" s="49"/>
      <x:c r="K368" s="49"/>
      <x:c r="L368" s="50"/>
    </x:row>
    <x:row r="369">
      <x:c r="I369" s="49"/>
      <x:c r="J369" s="49"/>
      <x:c r="K369" s="49"/>
      <x:c r="L369" s="50"/>
    </x:row>
    <x:row r="370">
      <x:c r="I370" s="49"/>
      <x:c r="J370" s="49"/>
      <x:c r="K370" s="49"/>
      <x:c r="L370" s="50"/>
    </x:row>
    <x:row r="371">
      <x:c r="I371" s="49"/>
      <x:c r="J371" s="49"/>
      <x:c r="K371" s="49"/>
      <x:c r="L371" s="50"/>
    </x:row>
    <x:row r="372">
      <x:c r="I372" s="49"/>
      <x:c r="J372" s="49"/>
      <x:c r="K372" s="49"/>
      <x:c r="L372" s="50"/>
    </x:row>
    <x:row r="373">
      <x:c r="I373" s="49"/>
      <x:c r="J373" s="49"/>
      <x:c r="K373" s="49"/>
      <x:c r="L373" s="50"/>
    </x:row>
    <x:row r="374">
      <x:c r="I374" s="49"/>
      <x:c r="J374" s="49"/>
      <x:c r="K374" s="49"/>
      <x:c r="L374" s="50"/>
    </x:row>
    <x:row r="375">
      <x:c r="I375" s="49"/>
      <x:c r="J375" s="49"/>
      <x:c r="K375" s="49"/>
      <x:c r="L375" s="50"/>
    </x:row>
    <x:row r="376">
      <x:c r="I376" s="49"/>
      <x:c r="J376" s="49"/>
      <x:c r="K376" s="49"/>
      <x:c r="L376" s="50"/>
    </x:row>
    <x:row r="377">
      <x:c r="I377" s="49"/>
      <x:c r="J377" s="49"/>
      <x:c r="K377" s="49"/>
      <x:c r="L377" s="50"/>
    </x:row>
    <x:row r="378">
      <x:c r="I378" s="49"/>
      <x:c r="J378" s="49"/>
      <x:c r="K378" s="49"/>
      <x:c r="L378" s="50"/>
    </x:row>
    <x:row r="379">
      <x:c r="I379" s="49"/>
      <x:c r="J379" s="49"/>
      <x:c r="K379" s="49"/>
      <x:c r="L379" s="50"/>
    </x:row>
    <x:row r="380">
      <x:c r="I380" s="49"/>
      <x:c r="J380" s="49"/>
      <x:c r="K380" s="49"/>
      <x:c r="L380" s="50"/>
    </x:row>
    <x:row r="381">
      <x:c r="I381" s="49"/>
      <x:c r="J381" s="49"/>
      <x:c r="K381" s="49"/>
      <x:c r="L381" s="50"/>
    </x:row>
    <x:row r="382">
      <x:c r="I382" s="49"/>
      <x:c r="J382" s="49"/>
      <x:c r="K382" s="49"/>
      <x:c r="L382" s="50"/>
    </x:row>
    <x:row r="383">
      <x:c r="I383" s="49"/>
      <x:c r="J383" s="49"/>
      <x:c r="K383" s="49"/>
      <x:c r="L383" s="50"/>
    </x:row>
    <x:row r="384">
      <x:c r="I384" s="49"/>
      <x:c r="J384" s="49"/>
      <x:c r="K384" s="49"/>
      <x:c r="L384" s="50"/>
    </x:row>
    <x:row r="385">
      <x:c r="I385" s="49"/>
      <x:c r="J385" s="49"/>
      <x:c r="K385" s="49"/>
      <x:c r="L385" s="50"/>
    </x:row>
    <x:row r="386">
      <x:c r="I386" s="49"/>
      <x:c r="J386" s="49"/>
      <x:c r="K386" s="49"/>
      <x:c r="L386" s="50"/>
    </x:row>
    <x:row r="387">
      <x:c r="I387" s="49"/>
      <x:c r="J387" s="49"/>
      <x:c r="K387" s="49"/>
      <x:c r="L387" s="50"/>
    </x:row>
    <x:row r="388">
      <x:c r="I388" s="49"/>
      <x:c r="J388" s="49"/>
      <x:c r="K388" s="49"/>
      <x:c r="L388" s="50"/>
    </x:row>
    <x:row r="389">
      <x:c r="I389" s="49"/>
      <x:c r="J389" s="49"/>
      <x:c r="K389" s="49"/>
      <x:c r="L389" s="50"/>
    </x:row>
    <x:row r="390">
      <x:c r="I390" s="49"/>
      <x:c r="J390" s="49"/>
      <x:c r="K390" s="49"/>
      <x:c r="L390" s="50"/>
    </x:row>
    <x:row r="391">
      <x:c r="I391" s="49"/>
      <x:c r="J391" s="49"/>
      <x:c r="K391" s="49"/>
      <x:c r="L391" s="50"/>
    </x:row>
    <x:row r="392">
      <x:c r="I392" s="49"/>
      <x:c r="J392" s="49"/>
      <x:c r="K392" s="49"/>
      <x:c r="L392" s="50"/>
    </x:row>
    <x:row r="393">
      <x:c r="I393" s="49"/>
      <x:c r="J393" s="49"/>
      <x:c r="K393" s="49"/>
      <x:c r="L393" s="50"/>
    </x:row>
    <x:row r="394">
      <x:c r="I394" s="49"/>
      <x:c r="J394" s="49"/>
      <x:c r="K394" s="49"/>
      <x:c r="L394" s="50"/>
    </x:row>
    <x:row r="395">
      <x:c r="I395" s="49"/>
      <x:c r="J395" s="49"/>
      <x:c r="K395" s="49"/>
      <x:c r="L395" s="50"/>
    </x:row>
    <x:row r="396">
      <x:c r="I396" s="49"/>
      <x:c r="J396" s="49"/>
      <x:c r="K396" s="49"/>
      <x:c r="L396" s="50"/>
    </x:row>
    <x:row r="397">
      <x:c r="I397" s="49"/>
      <x:c r="J397" s="49"/>
      <x:c r="K397" s="49"/>
      <x:c r="L397" s="50"/>
    </x:row>
    <x:row r="398">
      <x:c r="I398" s="49"/>
      <x:c r="J398" s="49"/>
      <x:c r="K398" s="49"/>
      <x:c r="L398" s="50"/>
    </x:row>
    <x:row r="399">
      <x:c r="I399" s="49"/>
      <x:c r="J399" s="49"/>
      <x:c r="K399" s="49"/>
      <x:c r="L399" s="50"/>
    </x:row>
    <x:row r="400">
      <x:c r="I400" s="49"/>
      <x:c r="J400" s="49"/>
      <x:c r="K400" s="49"/>
      <x:c r="L400" s="50"/>
    </x:row>
    <x:row r="401">
      <x:c r="I401" s="49"/>
      <x:c r="J401" s="49"/>
      <x:c r="K401" s="49"/>
      <x:c r="L401" s="50"/>
    </x:row>
    <x:row r="402">
      <x:c r="I402" s="49"/>
      <x:c r="J402" s="49"/>
      <x:c r="K402" s="49"/>
      <x:c r="L402" s="50"/>
    </x:row>
    <x:row r="403">
      <x:c r="I403" s="49"/>
      <x:c r="J403" s="49"/>
      <x:c r="K403" s="49"/>
      <x:c r="L403" s="50"/>
    </x:row>
    <x:row r="404">
      <x:c r="I404" s="49"/>
      <x:c r="J404" s="49"/>
      <x:c r="K404" s="49"/>
      <x:c r="L404" s="50"/>
    </x:row>
    <x:row r="405">
      <x:c r="I405" s="49"/>
      <x:c r="J405" s="49"/>
      <x:c r="K405" s="49"/>
      <x:c r="L405" s="50"/>
    </x:row>
    <x:row r="406">
      <x:c r="I406" s="49"/>
      <x:c r="J406" s="49"/>
      <x:c r="K406" s="49"/>
      <x:c r="L406" s="50"/>
    </x:row>
    <x:row r="407">
      <x:c r="I407" s="49"/>
      <x:c r="J407" s="49"/>
      <x:c r="K407" s="49"/>
      <x:c r="L407" s="50"/>
    </x:row>
    <x:row r="408">
      <x:c r="I408" s="49"/>
      <x:c r="J408" s="49"/>
      <x:c r="K408" s="49"/>
      <x:c r="L408" s="50"/>
    </x:row>
    <x:row r="409">
      <x:c r="I409" s="49"/>
      <x:c r="J409" s="49"/>
      <x:c r="K409" s="49"/>
      <x:c r="L409" s="50"/>
    </x:row>
    <x:row r="410">
      <x:c r="I410" s="49"/>
      <x:c r="J410" s="49"/>
      <x:c r="K410" s="49"/>
      <x:c r="L410" s="50"/>
    </x:row>
    <x:row r="411">
      <x:c r="I411" s="49"/>
      <x:c r="J411" s="49"/>
      <x:c r="K411" s="49"/>
      <x:c r="L411" s="50"/>
    </x:row>
    <x:row r="412">
      <x:c r="I412" s="49"/>
      <x:c r="J412" s="49"/>
      <x:c r="K412" s="49"/>
      <x:c r="L412" s="50"/>
    </x:row>
    <x:row r="413">
      <x:c r="I413" s="49"/>
      <x:c r="J413" s="49"/>
      <x:c r="K413" s="49"/>
      <x:c r="L413" s="50"/>
    </x:row>
    <x:row r="414">
      <x:c r="I414" s="49"/>
      <x:c r="J414" s="49"/>
      <x:c r="K414" s="49"/>
      <x:c r="L414" s="50"/>
    </x:row>
    <x:row r="415">
      <x:c r="I415" s="49"/>
      <x:c r="J415" s="49"/>
      <x:c r="K415" s="49"/>
      <x:c r="L415" s="50"/>
    </x:row>
    <x:row r="416">
      <x:c r="I416" s="49"/>
      <x:c r="J416" s="49"/>
      <x:c r="K416" s="49"/>
      <x:c r="L416" s="50"/>
    </x:row>
    <x:row r="417">
      <x:c r="I417" s="49"/>
      <x:c r="J417" s="49"/>
      <x:c r="K417" s="49"/>
      <x:c r="L417" s="50"/>
    </x:row>
    <x:row r="418">
      <x:c r="I418" s="49"/>
      <x:c r="J418" s="49"/>
      <x:c r="K418" s="49"/>
      <x:c r="L418" s="50"/>
    </x:row>
    <x:row r="419">
      <x:c r="I419" s="49"/>
      <x:c r="J419" s="49"/>
      <x:c r="K419" s="49"/>
      <x:c r="L419" s="50"/>
    </x:row>
    <x:row r="420">
      <x:c r="I420" s="49"/>
      <x:c r="J420" s="49"/>
      <x:c r="K420" s="49"/>
      <x:c r="L420" s="50"/>
    </x:row>
    <x:row r="421">
      <x:c r="I421" s="49"/>
      <x:c r="J421" s="49"/>
      <x:c r="K421" s="49"/>
      <x:c r="L421" s="50"/>
    </x:row>
    <x:row r="422">
      <x:c r="I422" s="49"/>
      <x:c r="J422" s="49"/>
      <x:c r="K422" s="49"/>
      <x:c r="L422" s="50"/>
    </x:row>
    <x:row r="423">
      <x:c r="I423" s="49"/>
      <x:c r="J423" s="49"/>
      <x:c r="K423" s="49"/>
      <x:c r="L423" s="50"/>
    </x:row>
    <x:row r="424">
      <x:c r="I424" s="49"/>
      <x:c r="J424" s="49"/>
      <x:c r="K424" s="49"/>
      <x:c r="L424" s="50"/>
    </x:row>
    <x:row r="425">
      <x:c r="I425" s="49"/>
      <x:c r="J425" s="49"/>
      <x:c r="K425" s="49"/>
      <x:c r="L425" s="50"/>
    </x:row>
    <x:row r="426">
      <x:c r="I426" s="49"/>
      <x:c r="J426" s="49"/>
      <x:c r="K426" s="49"/>
      <x:c r="L426" s="50"/>
    </x:row>
    <x:row r="427">
      <x:c r="I427" s="49"/>
      <x:c r="J427" s="49"/>
      <x:c r="K427" s="49"/>
      <x:c r="L427" s="50"/>
    </x:row>
    <x:row r="428">
      <x:c r="I428" s="49"/>
      <x:c r="J428" s="49"/>
      <x:c r="K428" s="49"/>
      <x:c r="L428" s="50"/>
    </x:row>
    <x:row r="429">
      <x:c r="I429" s="49"/>
      <x:c r="J429" s="49"/>
      <x:c r="K429" s="49"/>
      <x:c r="L429" s="50"/>
    </x:row>
    <x:row r="430">
      <x:c r="I430" s="49"/>
      <x:c r="J430" s="49"/>
      <x:c r="K430" s="49"/>
      <x:c r="L430" s="50"/>
    </x:row>
    <x:row r="431">
      <x:c r="I431" s="49"/>
      <x:c r="J431" s="49"/>
      <x:c r="K431" s="49"/>
      <x:c r="L431" s="50"/>
    </x:row>
    <x:row r="432">
      <x:c r="I432" s="49"/>
      <x:c r="J432" s="49"/>
      <x:c r="K432" s="49"/>
      <x:c r="L432" s="50"/>
    </x:row>
    <x:row r="433">
      <x:c r="I433" s="49"/>
      <x:c r="J433" s="49"/>
      <x:c r="K433" s="49"/>
      <x:c r="L433" s="50"/>
    </x:row>
    <x:row r="434">
      <x:c r="I434" s="49"/>
      <x:c r="J434" s="49"/>
      <x:c r="K434" s="49"/>
      <x:c r="L434" s="50"/>
    </x:row>
    <x:row r="435">
      <x:c r="I435" s="49"/>
      <x:c r="J435" s="49"/>
      <x:c r="K435" s="49"/>
      <x:c r="L435" s="50"/>
    </x:row>
    <x:row r="436">
      <x:c r="I436" s="49"/>
      <x:c r="J436" s="49"/>
      <x:c r="K436" s="49"/>
      <x:c r="L436" s="50"/>
    </x:row>
    <x:row r="437">
      <x:c r="I437" s="49"/>
      <x:c r="J437" s="49"/>
      <x:c r="K437" s="49"/>
      <x:c r="L437" s="50"/>
    </x:row>
    <x:row r="438">
      <x:c r="I438" s="49"/>
      <x:c r="J438" s="49"/>
      <x:c r="K438" s="49"/>
      <x:c r="L438" s="50"/>
    </x:row>
    <x:row r="439">
      <x:c r="I439" s="49"/>
      <x:c r="J439" s="49"/>
      <x:c r="K439" s="49"/>
      <x:c r="L439" s="50"/>
    </x:row>
    <x:row r="440">
      <x:c r="I440" s="49"/>
      <x:c r="J440" s="49"/>
      <x:c r="K440" s="49"/>
      <x:c r="L440" s="50"/>
    </x:row>
    <x:row r="441">
      <x:c r="I441" s="49"/>
      <x:c r="J441" s="49"/>
      <x:c r="K441" s="49"/>
      <x:c r="L441" s="50"/>
    </x:row>
    <x:row r="442">
      <x:c r="I442" s="49"/>
      <x:c r="J442" s="49"/>
      <x:c r="K442" s="49"/>
      <x:c r="L442" s="50"/>
    </x:row>
    <x:row r="443">
      <x:c r="I443" s="49"/>
      <x:c r="J443" s="49"/>
      <x:c r="K443" s="49"/>
      <x:c r="L443" s="50"/>
    </x:row>
    <x:row r="444">
      <x:c r="I444" s="49"/>
      <x:c r="J444" s="49"/>
      <x:c r="K444" s="49"/>
      <x:c r="L444" s="50"/>
    </x:row>
    <x:row r="445">
      <x:c r="I445" s="49"/>
      <x:c r="J445" s="49"/>
      <x:c r="K445" s="49"/>
      <x:c r="L445" s="50"/>
    </x:row>
    <x:row r="446">
      <x:c r="I446" s="49"/>
      <x:c r="J446" s="49"/>
      <x:c r="K446" s="49"/>
      <x:c r="L446" s="50"/>
    </x:row>
    <x:row r="447">
      <x:c r="I447" s="49"/>
      <x:c r="J447" s="49"/>
      <x:c r="K447" s="49"/>
      <x:c r="L447" s="50"/>
    </x:row>
    <x:row r="448">
      <x:c r="I448" s="49"/>
      <x:c r="J448" s="49"/>
      <x:c r="K448" s="49"/>
      <x:c r="L448" s="50"/>
    </x:row>
    <x:row r="449">
      <x:c r="I449" s="49"/>
      <x:c r="J449" s="49"/>
      <x:c r="K449" s="49"/>
      <x:c r="L449" s="50"/>
    </x:row>
    <x:row r="450">
      <x:c r="I450" s="49"/>
      <x:c r="J450" s="49"/>
      <x:c r="K450" s="49"/>
      <x:c r="L450" s="50"/>
    </x:row>
    <x:row r="451">
      <x:c r="I451" s="49"/>
      <x:c r="J451" s="49"/>
      <x:c r="K451" s="49"/>
      <x:c r="L451" s="50"/>
    </x:row>
    <x:row r="452">
      <x:c r="I452" s="49"/>
      <x:c r="J452" s="49"/>
      <x:c r="K452" s="49"/>
      <x:c r="L452" s="50"/>
    </x:row>
    <x:row r="453">
      <x:c r="I453" s="49"/>
      <x:c r="J453" s="49"/>
      <x:c r="K453" s="49"/>
      <x:c r="L453" s="50"/>
    </x:row>
    <x:row r="454">
      <x:c r="I454" s="49"/>
      <x:c r="J454" s="49"/>
      <x:c r="K454" s="49"/>
      <x:c r="L454" s="50"/>
    </x:row>
    <x:row r="455">
      <x:c r="I455" s="49"/>
      <x:c r="J455" s="49"/>
      <x:c r="K455" s="49"/>
      <x:c r="L455" s="50"/>
    </x:row>
    <x:row r="456">
      <x:c r="I456" s="49"/>
      <x:c r="J456" s="49"/>
      <x:c r="K456" s="49"/>
      <x:c r="L456" s="50"/>
    </x:row>
    <x:row r="457">
      <x:c r="I457" s="49"/>
      <x:c r="J457" s="49"/>
      <x:c r="K457" s="49"/>
      <x:c r="L457" s="50"/>
    </x:row>
    <x:row r="458">
      <x:c r="I458" s="49"/>
      <x:c r="J458" s="49"/>
      <x:c r="K458" s="49"/>
      <x:c r="L458" s="50"/>
    </x:row>
    <x:row r="459">
      <x:c r="I459" s="49"/>
      <x:c r="J459" s="49"/>
      <x:c r="K459" s="49"/>
      <x:c r="L459" s="50"/>
    </x:row>
    <x:row r="460">
      <x:c r="I460" s="49"/>
      <x:c r="J460" s="49"/>
      <x:c r="K460" s="49"/>
      <x:c r="L460" s="50"/>
    </x:row>
    <x:row r="461">
      <x:c r="I461" s="49"/>
      <x:c r="J461" s="49"/>
      <x:c r="K461" s="49"/>
      <x:c r="L461" s="50"/>
    </x:row>
    <x:row r="462">
      <x:c r="I462" s="49"/>
      <x:c r="J462" s="49"/>
      <x:c r="K462" s="49"/>
      <x:c r="L462" s="50"/>
    </x:row>
    <x:row r="463">
      <x:c r="I463" s="49"/>
      <x:c r="J463" s="49"/>
      <x:c r="K463" s="49"/>
      <x:c r="L463" s="50"/>
    </x:row>
    <x:row r="464">
      <x:c r="I464" s="49"/>
      <x:c r="J464" s="49"/>
      <x:c r="K464" s="49"/>
      <x:c r="L464" s="50"/>
    </x:row>
    <x:row r="465">
      <x:c r="I465" s="49"/>
      <x:c r="J465" s="49"/>
      <x:c r="K465" s="49"/>
      <x:c r="L465" s="50"/>
    </x:row>
    <x:row r="466">
      <x:c r="I466" s="49"/>
      <x:c r="J466" s="49"/>
      <x:c r="K466" s="49"/>
      <x:c r="L466" s="50"/>
    </x:row>
    <x:row r="467">
      <x:c r="I467" s="49"/>
      <x:c r="J467" s="49"/>
      <x:c r="K467" s="49"/>
      <x:c r="L467" s="50"/>
    </x:row>
    <x:row r="468">
      <x:c r="I468" s="49"/>
      <x:c r="J468" s="49"/>
      <x:c r="K468" s="49"/>
      <x:c r="L468" s="50"/>
    </x:row>
    <x:row r="469">
      <x:c r="I469" s="49"/>
      <x:c r="J469" s="49"/>
      <x:c r="K469" s="49"/>
      <x:c r="L469" s="50"/>
    </x:row>
    <x:row r="470">
      <x:c r="I470" s="49"/>
      <x:c r="J470" s="49"/>
      <x:c r="K470" s="49"/>
      <x:c r="L470" s="50"/>
    </x:row>
    <x:row r="471">
      <x:c r="I471" s="49"/>
      <x:c r="J471" s="49"/>
      <x:c r="K471" s="49"/>
      <x:c r="L471" s="50"/>
    </x:row>
    <x:row r="472">
      <x:c r="I472" s="49"/>
      <x:c r="J472" s="49"/>
      <x:c r="K472" s="49"/>
      <x:c r="L472" s="50"/>
    </x:row>
    <x:row r="473">
      <x:c r="I473" s="49"/>
      <x:c r="J473" s="49"/>
      <x:c r="K473" s="49"/>
      <x:c r="L473" s="50"/>
    </x:row>
    <x:row r="474">
      <x:c r="I474" s="49"/>
      <x:c r="J474" s="49"/>
      <x:c r="K474" s="49"/>
      <x:c r="L474" s="50"/>
    </x:row>
    <x:row r="475">
      <x:c r="I475" s="49"/>
      <x:c r="J475" s="49"/>
      <x:c r="K475" s="49"/>
      <x:c r="L475" s="50"/>
    </x:row>
    <x:row r="476">
      <x:c r="I476" s="49"/>
      <x:c r="J476" s="49"/>
      <x:c r="K476" s="49"/>
      <x:c r="L476" s="50"/>
    </x:row>
    <x:row r="477">
      <x:c r="I477" s="49"/>
      <x:c r="J477" s="49"/>
      <x:c r="K477" s="49"/>
      <x:c r="L477" s="50"/>
    </x:row>
    <x:row r="478">
      <x:c r="I478" s="49"/>
      <x:c r="J478" s="49"/>
      <x:c r="K478" s="49"/>
      <x:c r="L478" s="50"/>
    </x:row>
    <x:row r="479">
      <x:c r="I479" s="49"/>
      <x:c r="J479" s="49"/>
      <x:c r="K479" s="49"/>
      <x:c r="L479" s="50"/>
    </x:row>
    <x:row r="480">
      <x:c r="I480" s="49"/>
      <x:c r="J480" s="49"/>
      <x:c r="K480" s="49"/>
      <x:c r="L480" s="50"/>
    </x:row>
    <x:row r="481">
      <x:c r="I481" s="49"/>
      <x:c r="J481" s="49"/>
      <x:c r="K481" s="49"/>
      <x:c r="L481" s="50"/>
    </x:row>
    <x:row r="482">
      <x:c r="I482" s="49"/>
      <x:c r="J482" s="49"/>
      <x:c r="K482" s="49"/>
      <x:c r="L482" s="50"/>
    </x:row>
    <x:row r="483">
      <x:c r="I483" s="49"/>
      <x:c r="J483" s="49"/>
      <x:c r="K483" s="49"/>
      <x:c r="L483" s="50"/>
    </x:row>
    <x:row r="484">
      <x:c r="I484" s="49"/>
      <x:c r="J484" s="49"/>
      <x:c r="K484" s="49"/>
      <x:c r="L484" s="50"/>
    </x:row>
    <x:row r="485">
      <x:c r="I485" s="49"/>
      <x:c r="J485" s="49"/>
      <x:c r="K485" s="49"/>
      <x:c r="L485" s="50"/>
    </x:row>
    <x:row r="486">
      <x:c r="I486" s="49"/>
      <x:c r="J486" s="49"/>
      <x:c r="K486" s="49"/>
      <x:c r="L486" s="50"/>
    </x:row>
    <x:row r="487">
      <x:c r="I487" s="49"/>
      <x:c r="J487" s="49"/>
      <x:c r="K487" s="49"/>
      <x:c r="L487" s="50"/>
    </x:row>
    <x:row r="488">
      <x:c r="I488" s="49"/>
      <x:c r="J488" s="49"/>
      <x:c r="K488" s="49"/>
      <x:c r="L488" s="50"/>
    </x:row>
    <x:row r="489">
      <x:c r="I489" s="49"/>
      <x:c r="J489" s="49"/>
      <x:c r="K489" s="49"/>
      <x:c r="L489" s="50"/>
    </x:row>
    <x:row r="490">
      <x:c r="I490" s="49"/>
      <x:c r="J490" s="49"/>
      <x:c r="K490" s="49"/>
      <x:c r="L490" s="50"/>
    </x:row>
    <x:row r="491">
      <x:c r="I491" s="49"/>
      <x:c r="J491" s="49"/>
      <x:c r="K491" s="49"/>
      <x:c r="L491" s="50"/>
    </x:row>
    <x:row r="492">
      <x:c r="I492" s="49"/>
      <x:c r="J492" s="49"/>
      <x:c r="K492" s="49"/>
      <x:c r="L492" s="50"/>
    </x:row>
    <x:row r="493">
      <x:c r="I493" s="49"/>
      <x:c r="J493" s="49"/>
      <x:c r="K493" s="49"/>
      <x:c r="L493" s="50"/>
    </x:row>
    <x:row r="494">
      <x:c r="I494" s="49"/>
      <x:c r="J494" s="49"/>
      <x:c r="K494" s="49"/>
      <x:c r="L494" s="50"/>
    </x:row>
    <x:row r="495">
      <x:c r="I495" s="49"/>
      <x:c r="J495" s="49"/>
      <x:c r="K495" s="49"/>
      <x:c r="L495" s="50"/>
    </x:row>
    <x:row r="496">
      <x:c r="I496" s="49"/>
      <x:c r="J496" s="49"/>
      <x:c r="K496" s="49"/>
      <x:c r="L496" s="50"/>
    </x:row>
    <x:row r="497">
      <x:c r="I497" s="49"/>
      <x:c r="J497" s="49"/>
      <x:c r="K497" s="49"/>
      <x:c r="L497" s="50"/>
    </x:row>
    <x:row r="498">
      <x:c r="I498" s="49"/>
      <x:c r="J498" s="49"/>
      <x:c r="K498" s="49"/>
      <x:c r="L498" s="50"/>
    </x:row>
    <x:row r="499">
      <x:c r="I499" s="49"/>
      <x:c r="J499" s="49"/>
      <x:c r="K499" s="49"/>
      <x:c r="L499" s="50"/>
    </x:row>
    <x:row r="500">
      <x:c r="I500" s="49"/>
      <x:c r="J500" s="49"/>
      <x:c r="K500" s="49"/>
      <x:c r="L500" s="50"/>
    </x:row>
  </x:sheetData>
  <x:mergeCells>
    <x:mergeCell ref="A1:Q1"/>
    <x:mergeCell ref="A2:H2"/>
  </x:mergeCells>
  <x:dataValidations count="3">
    <x:dataValidation type="list" sqref="F5:F500">
      <x:formula1>"Critical,High,Medium,Low"</x:formula1>
    </x:dataValidation>
    <x:dataValidation type="list" sqref="G5:G500">
      <x:formula1>"Open,In Progress,Fixed,Closed,Rejected,Deferred"</x:formula1>
    </x:dataValidation>
    <x:dataValidation type="list" sqref="O5:O500">
      <x:formula1>"Pending,Passed,Failed,Not Required"</x:formula1>
    </x:dataValidation>
  </x:dataValidations>
  <x:pageMargins left="0.7" right="0.7" top="0.75" bottom="0.75" header="0.3" footer="0.3"/>
  <x:tableParts count="1">
    <x:tablePart xmlns:r="http://schemas.openxmlformats.org/officeDocument/2006/relationships" r:id="Rf77f4534cf4c44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5" hidden="0" customWidth="1"/>
    <x:col min="3" max="3" width="16" hidden="0" customWidth="1"/>
    <x:col min="4" max="4" width="15" hidden="0" customWidth="1"/>
    <x:col min="5" max="5" width="14" hidden="0" customWidth="1"/>
    <x:col min="6" max="6" width="14" hidden="0" customWidth="1"/>
    <x:col min="7" max="7" width="18" hidden="0" customWidth="1"/>
    <x:col min="8" max="8" width="30" hidden="0" customWidth="1"/>
    <x:col min="9" max="9" width="11" hidden="0" customWidth="1"/>
    <x:col min="10" max="10" width="11" hidden="0" customWidth="1"/>
    <x:col min="11" max="11" width="11" hidden="0" customWidth="1"/>
    <x:col min="12" max="12" width="11" hidden="0" customWidth="1"/>
    <x:col min="13" max="13" width="11" hidden="0" customWidth="1"/>
    <x:col min="14" max="14" width="38" hidden="0" customWidth="1"/>
  </x:cols>
  <x:sheetData>
    <x:row r="1" ht="34" customHeight="1">
      <x:c r="A1" s="4" t="str">
        <x:v>TEST RUN LOG</x:v>
      </x:c>
      <x:c r="B1" s="4" t="str">
        <x:v>TEST RUN LOG</x:v>
      </x:c>
      <x:c r="C1" s="4" t="str">
        <x:v>TEST RUN LOG</x:v>
      </x:c>
      <x:c r="D1" s="4" t="str">
        <x:v>TEST RUN LOG</x:v>
      </x:c>
      <x:c r="E1" s="4" t="str">
        <x:v>TEST RUN LOG</x:v>
      </x:c>
      <x:c r="F1" s="4" t="str">
        <x:v>TEST RUN LOG</x:v>
      </x:c>
      <x:c r="G1" s="4" t="str">
        <x:v>TEST RUN LOG</x:v>
      </x:c>
      <x:c r="H1" s="4" t="str">
        <x:v>TEST RUN LOG</x:v>
      </x:c>
      <x:c r="I1" s="4" t="str">
        <x:v>TEST RUN LOG</x:v>
      </x:c>
      <x:c r="J1" s="4" t="str">
        <x:v>TEST RUN LOG</x:v>
      </x:c>
      <x:c r="K1" s="4" t="str">
        <x:v>TEST RUN LOG</x:v>
      </x:c>
      <x:c r="L1" s="4" t="str">
        <x:v>TEST RUN LOG</x:v>
      </x:c>
      <x:c r="M1" s="4" t="str">
        <x:v>TEST RUN LOG</x:v>
      </x:c>
      <x:c r="N1" s="4" t="str">
        <x:v>TEST RUN LOG</x:v>
      </x:c>
    </x:row>
    <x:row r="2" ht="28" customHeight="1">
      <x:c r="A2" s="7" t="str">
        <x:v>Use one row per test cycle or release candidate.</x:v>
      </x:c>
      <x:c r="B2" s="7" t="str">
        <x:v>Use one row per test cycle or release candidate.</x:v>
      </x:c>
      <x:c r="C2" s="7" t="str">
        <x:v>Use one row per test cycle or release candidate.</x:v>
      </x:c>
      <x:c r="D2" s="7" t="str">
        <x:v>Use one row per test cycle or release candidate.</x:v>
      </x:c>
      <x:c r="E2" s="7" t="str">
        <x:v>Use one row per test cycle or release candidate.</x:v>
      </x:c>
      <x:c r="F2" s="7" t="str">
        <x:v>Use one row per test cycle or release candidate.</x:v>
      </x:c>
      <x:c r="G2" s="7" t="str">
        <x:v>Use one row per test cycle or release candidate.</x:v>
      </x:c>
      <x:c r="H2" s="7" t="str">
        <x:v>Use one row per test cycle or release candidate.</x:v>
      </x:c>
    </x:row>
    <x:row r="4" ht="30" customHeight="1">
      <x:c r="A4" s="19" t="str">
        <x:v>Run ID</x:v>
      </x:c>
      <x:c r="B4" s="20" t="str">
        <x:v>Build</x:v>
      </x:c>
      <x:c r="C4" s="20" t="str">
        <x:v>Environment</x:v>
      </x:c>
      <x:c r="D4" s="20" t="str">
        <x:v>Level</x:v>
      </x:c>
      <x:c r="E4" s="20" t="str">
        <x:v>Start Date</x:v>
      </x:c>
      <x:c r="F4" s="20" t="str">
        <x:v>End Date</x:v>
      </x:c>
      <x:c r="G4" s="20" t="str">
        <x:v>Lead</x:v>
      </x:c>
      <x:c r="H4" s="20" t="str">
        <x:v>Scope</x:v>
      </x:c>
      <x:c r="I4" s="20" t="str">
        <x:v>Total</x:v>
      </x:c>
      <x:c r="J4" s="20" t="str">
        <x:v>Executed</x:v>
      </x:c>
      <x:c r="K4" s="20" t="str">
        <x:v>Passed</x:v>
      </x:c>
      <x:c r="L4" s="20" t="str">
        <x:v>Failed</x:v>
      </x:c>
      <x:c r="M4" s="20" t="str">
        <x:v>Blocked</x:v>
      </x:c>
      <x:c r="N4" s="21" t="str">
        <x:v>Decision / Notes</x:v>
      </x:c>
    </x:row>
    <x:row r="5">
      <x:c r="A5" t="str">
        <x:v>RUN-001</x:v>
      </x:c>
      <x:c r="B5" t="str"/>
      <x:c r="C5" t="str">
        <x:v>QA</x:v>
      </x:c>
      <x:c r="D5" t="str">
        <x:v>Level 1</x:v>
      </x:c>
      <x:c r="E5" s="49" t="str"/>
      <x:c r="F5" s="49" t="str"/>
      <x:c r="G5" t="str"/>
      <x:c r="H5" t="str">
        <x:v>Initial core-flow run</x:v>
      </x:c>
      <x:c r="I5" t="str"/>
      <x:c r="J5" t="str"/>
      <x:c r="K5" t="str"/>
      <x:c r="L5" t="str"/>
      <x:c r="M5" t="str"/>
      <x:c r="N5" t="str"/>
    </x:row>
    <x:row r="6">
      <x:c r="E6" s="49"/>
      <x:c r="F6" s="49"/>
    </x:row>
    <x:row r="7">
      <x:c r="E7" s="49"/>
      <x:c r="F7" s="49"/>
    </x:row>
    <x:row r="8">
      <x:c r="E8" s="49"/>
      <x:c r="F8" s="49"/>
    </x:row>
    <x:row r="9">
      <x:c r="E9" s="49"/>
      <x:c r="F9" s="49"/>
    </x:row>
    <x:row r="10">
      <x:c r="E10" s="49"/>
      <x:c r="F10" s="49"/>
    </x:row>
    <x:row r="11">
      <x:c r="E11" s="49"/>
      <x:c r="F11" s="49"/>
    </x:row>
    <x:row r="12">
      <x:c r="E12" s="49"/>
      <x:c r="F12" s="49"/>
    </x:row>
    <x:row r="13">
      <x:c r="E13" s="49"/>
      <x:c r="F13" s="49"/>
    </x:row>
    <x:row r="14">
      <x:c r="E14" s="49"/>
      <x:c r="F14" s="49"/>
    </x:row>
    <x:row r="15">
      <x:c r="E15" s="49"/>
      <x:c r="F15" s="49"/>
    </x:row>
    <x:row r="16">
      <x:c r="E16" s="49"/>
      <x:c r="F16" s="49"/>
    </x:row>
    <x:row r="17">
      <x:c r="E17" s="49"/>
      <x:c r="F17" s="49"/>
    </x:row>
    <x:row r="18">
      <x:c r="E18" s="49"/>
      <x:c r="F18" s="49"/>
    </x:row>
    <x:row r="19">
      <x:c r="E19" s="49"/>
      <x:c r="F19" s="49"/>
    </x:row>
    <x:row r="20">
      <x:c r="E20" s="49"/>
      <x:c r="F20" s="49"/>
    </x:row>
    <x:row r="21">
      <x:c r="E21" s="49"/>
      <x:c r="F21" s="49"/>
    </x:row>
    <x:row r="22">
      <x:c r="E22" s="49"/>
      <x:c r="F22" s="49"/>
    </x:row>
    <x:row r="23">
      <x:c r="E23" s="49"/>
      <x:c r="F23" s="49"/>
    </x:row>
    <x:row r="24">
      <x:c r="E24" s="49"/>
      <x:c r="F24" s="49"/>
    </x:row>
    <x:row r="25">
      <x:c r="E25" s="49"/>
      <x:c r="F25" s="49"/>
    </x:row>
    <x:row r="26">
      <x:c r="E26" s="49"/>
      <x:c r="F26" s="49"/>
    </x:row>
    <x:row r="27">
      <x:c r="E27" s="49"/>
      <x:c r="F27" s="49"/>
    </x:row>
    <x:row r="28">
      <x:c r="E28" s="49"/>
      <x:c r="F28" s="49"/>
    </x:row>
    <x:row r="29">
      <x:c r="E29" s="49"/>
      <x:c r="F29" s="49"/>
    </x:row>
    <x:row r="30">
      <x:c r="E30" s="49"/>
      <x:c r="F30" s="49"/>
    </x:row>
    <x:row r="31">
      <x:c r="E31" s="49"/>
      <x:c r="F31" s="49"/>
    </x:row>
    <x:row r="32">
      <x:c r="E32" s="49"/>
      <x:c r="F32" s="49"/>
    </x:row>
    <x:row r="33">
      <x:c r="E33" s="49"/>
      <x:c r="F33" s="49"/>
    </x:row>
    <x:row r="34">
      <x:c r="E34" s="49"/>
      <x:c r="F34" s="49"/>
    </x:row>
    <x:row r="35">
      <x:c r="E35" s="49"/>
      <x:c r="F35" s="49"/>
    </x:row>
    <x:row r="36">
      <x:c r="E36" s="49"/>
      <x:c r="F36" s="49"/>
    </x:row>
    <x:row r="37">
      <x:c r="E37" s="49"/>
      <x:c r="F37" s="49"/>
    </x:row>
    <x:row r="38">
      <x:c r="E38" s="49"/>
      <x:c r="F38" s="49"/>
    </x:row>
    <x:row r="39">
      <x:c r="E39" s="49"/>
      <x:c r="F39" s="49"/>
    </x:row>
    <x:row r="40">
      <x:c r="E40" s="49"/>
      <x:c r="F40" s="49"/>
    </x:row>
    <x:row r="41">
      <x:c r="E41" s="49"/>
      <x:c r="F41" s="49"/>
    </x:row>
    <x:row r="42">
      <x:c r="E42" s="49"/>
      <x:c r="F42" s="49"/>
    </x:row>
    <x:row r="43">
      <x:c r="E43" s="49"/>
      <x:c r="F43" s="49"/>
    </x:row>
    <x:row r="44">
      <x:c r="E44" s="49"/>
      <x:c r="F44" s="49"/>
    </x:row>
    <x:row r="45">
      <x:c r="E45" s="49"/>
      <x:c r="F45" s="49"/>
    </x:row>
    <x:row r="46">
      <x:c r="E46" s="49"/>
      <x:c r="F46" s="49"/>
    </x:row>
    <x:row r="47">
      <x:c r="E47" s="49"/>
      <x:c r="F47" s="49"/>
    </x:row>
    <x:row r="48">
      <x:c r="E48" s="49"/>
      <x:c r="F48" s="49"/>
    </x:row>
    <x:row r="49">
      <x:c r="E49" s="49"/>
      <x:c r="F49" s="49"/>
    </x:row>
    <x:row r="50">
      <x:c r="E50" s="49"/>
      <x:c r="F50" s="49"/>
    </x:row>
    <x:row r="51">
      <x:c r="E51" s="49"/>
      <x:c r="F51" s="49"/>
    </x:row>
    <x:row r="52">
      <x:c r="E52" s="49"/>
      <x:c r="F52" s="49"/>
    </x:row>
    <x:row r="53">
      <x:c r="E53" s="49"/>
      <x:c r="F53" s="49"/>
    </x:row>
    <x:row r="54">
      <x:c r="E54" s="49"/>
      <x:c r="F54" s="49"/>
    </x:row>
    <x:row r="55">
      <x:c r="E55" s="49"/>
      <x:c r="F55" s="49"/>
    </x:row>
    <x:row r="56">
      <x:c r="E56" s="49"/>
      <x:c r="F56" s="49"/>
    </x:row>
    <x:row r="57">
      <x:c r="E57" s="49"/>
      <x:c r="F57" s="49"/>
    </x:row>
    <x:row r="58">
      <x:c r="E58" s="49"/>
      <x:c r="F58" s="49"/>
    </x:row>
    <x:row r="59">
      <x:c r="E59" s="49"/>
      <x:c r="F59" s="49"/>
    </x:row>
    <x:row r="60">
      <x:c r="E60" s="49"/>
      <x:c r="F60" s="49"/>
    </x:row>
    <x:row r="61">
      <x:c r="E61" s="49"/>
      <x:c r="F61" s="49"/>
    </x:row>
    <x:row r="62">
      <x:c r="E62" s="49"/>
      <x:c r="F62" s="49"/>
    </x:row>
    <x:row r="63">
      <x:c r="E63" s="49"/>
      <x:c r="F63" s="49"/>
    </x:row>
    <x:row r="64">
      <x:c r="E64" s="49"/>
      <x:c r="F64" s="49"/>
    </x:row>
    <x:row r="65">
      <x:c r="E65" s="49"/>
      <x:c r="F65" s="49"/>
    </x:row>
    <x:row r="66">
      <x:c r="E66" s="49"/>
      <x:c r="F66" s="49"/>
    </x:row>
    <x:row r="67">
      <x:c r="E67" s="49"/>
      <x:c r="F67" s="49"/>
    </x:row>
    <x:row r="68">
      <x:c r="E68" s="49"/>
      <x:c r="F68" s="49"/>
    </x:row>
    <x:row r="69">
      <x:c r="E69" s="49"/>
      <x:c r="F69" s="49"/>
    </x:row>
    <x:row r="70">
      <x:c r="E70" s="49"/>
      <x:c r="F70" s="49"/>
    </x:row>
    <x:row r="71">
      <x:c r="E71" s="49"/>
      <x:c r="F71" s="49"/>
    </x:row>
    <x:row r="72">
      <x:c r="E72" s="49"/>
      <x:c r="F72" s="49"/>
    </x:row>
    <x:row r="73">
      <x:c r="E73" s="49"/>
      <x:c r="F73" s="49"/>
    </x:row>
    <x:row r="74">
      <x:c r="E74" s="49"/>
      <x:c r="F74" s="49"/>
    </x:row>
    <x:row r="75">
      <x:c r="E75" s="49"/>
      <x:c r="F75" s="49"/>
    </x:row>
    <x:row r="76">
      <x:c r="E76" s="49"/>
      <x:c r="F76" s="49"/>
    </x:row>
    <x:row r="77">
      <x:c r="E77" s="49"/>
      <x:c r="F77" s="49"/>
    </x:row>
    <x:row r="78">
      <x:c r="E78" s="49"/>
      <x:c r="F78" s="49"/>
    </x:row>
    <x:row r="79">
      <x:c r="E79" s="49"/>
      <x:c r="F79" s="49"/>
    </x:row>
    <x:row r="80">
      <x:c r="E80" s="49"/>
      <x:c r="F80" s="49"/>
    </x:row>
    <x:row r="81">
      <x:c r="E81" s="49"/>
      <x:c r="F81" s="49"/>
    </x:row>
    <x:row r="82">
      <x:c r="E82" s="49"/>
      <x:c r="F82" s="49"/>
    </x:row>
    <x:row r="83">
      <x:c r="E83" s="49"/>
      <x:c r="F83" s="49"/>
    </x:row>
    <x:row r="84">
      <x:c r="E84" s="49"/>
      <x:c r="F84" s="49"/>
    </x:row>
    <x:row r="85">
      <x:c r="E85" s="49"/>
      <x:c r="F85" s="49"/>
    </x:row>
    <x:row r="86">
      <x:c r="E86" s="49"/>
      <x:c r="F86" s="49"/>
    </x:row>
    <x:row r="87">
      <x:c r="E87" s="49"/>
      <x:c r="F87" s="49"/>
    </x:row>
    <x:row r="88">
      <x:c r="E88" s="49"/>
      <x:c r="F88" s="49"/>
    </x:row>
    <x:row r="89">
      <x:c r="E89" s="49"/>
      <x:c r="F89" s="49"/>
    </x:row>
    <x:row r="90">
      <x:c r="E90" s="49"/>
      <x:c r="F90" s="49"/>
    </x:row>
    <x:row r="91">
      <x:c r="E91" s="49"/>
      <x:c r="F91" s="49"/>
    </x:row>
    <x:row r="92">
      <x:c r="E92" s="49"/>
      <x:c r="F92" s="49"/>
    </x:row>
    <x:row r="93">
      <x:c r="E93" s="49"/>
      <x:c r="F93" s="49"/>
    </x:row>
    <x:row r="94">
      <x:c r="E94" s="49"/>
      <x:c r="F94" s="49"/>
    </x:row>
    <x:row r="95">
      <x:c r="E95" s="49"/>
      <x:c r="F95" s="49"/>
    </x:row>
    <x:row r="96">
      <x:c r="E96" s="49"/>
      <x:c r="F96" s="49"/>
    </x:row>
    <x:row r="97">
      <x:c r="E97" s="49"/>
      <x:c r="F97" s="49"/>
    </x:row>
    <x:row r="98">
      <x:c r="E98" s="49"/>
      <x:c r="F98" s="49"/>
    </x:row>
    <x:row r="99">
      <x:c r="E99" s="49"/>
      <x:c r="F99" s="49"/>
    </x:row>
    <x:row r="100">
      <x:c r="E100" s="49"/>
      <x:c r="F100" s="49"/>
    </x:row>
    <x:row r="101">
      <x:c r="E101" s="49"/>
      <x:c r="F101" s="49"/>
    </x:row>
    <x:row r="102">
      <x:c r="E102" s="49"/>
      <x:c r="F102" s="49"/>
    </x:row>
    <x:row r="103">
      <x:c r="E103" s="49"/>
      <x:c r="F103" s="49"/>
    </x:row>
    <x:row r="104">
      <x:c r="E104" s="49"/>
      <x:c r="F104" s="49"/>
    </x:row>
    <x:row r="105">
      <x:c r="E105" s="49"/>
      <x:c r="F105" s="49"/>
    </x:row>
    <x:row r="106">
      <x:c r="E106" s="49"/>
      <x:c r="F106" s="49"/>
    </x:row>
    <x:row r="107">
      <x:c r="E107" s="49"/>
      <x:c r="F107" s="49"/>
    </x:row>
    <x:row r="108">
      <x:c r="E108" s="49"/>
      <x:c r="F108" s="49"/>
    </x:row>
    <x:row r="109">
      <x:c r="E109" s="49"/>
      <x:c r="F109" s="49"/>
    </x:row>
    <x:row r="110">
      <x:c r="E110" s="49"/>
      <x:c r="F110" s="49"/>
    </x:row>
    <x:row r="111">
      <x:c r="E111" s="49"/>
      <x:c r="F111" s="49"/>
    </x:row>
    <x:row r="112">
      <x:c r="E112" s="49"/>
      <x:c r="F112" s="49"/>
    </x:row>
    <x:row r="113">
      <x:c r="E113" s="49"/>
      <x:c r="F113" s="49"/>
    </x:row>
    <x:row r="114">
      <x:c r="E114" s="49"/>
      <x:c r="F114" s="49"/>
    </x:row>
    <x:row r="115">
      <x:c r="E115" s="49"/>
      <x:c r="F115" s="49"/>
    </x:row>
    <x:row r="116">
      <x:c r="E116" s="49"/>
      <x:c r="F116" s="49"/>
    </x:row>
    <x:row r="117">
      <x:c r="E117" s="49"/>
      <x:c r="F117" s="49"/>
    </x:row>
    <x:row r="118">
      <x:c r="E118" s="49"/>
      <x:c r="F118" s="49"/>
    </x:row>
    <x:row r="119">
      <x:c r="E119" s="49"/>
      <x:c r="F119" s="49"/>
    </x:row>
    <x:row r="120">
      <x:c r="E120" s="49"/>
      <x:c r="F120" s="49"/>
    </x:row>
    <x:row r="121">
      <x:c r="E121" s="49"/>
      <x:c r="F121" s="49"/>
    </x:row>
    <x:row r="122">
      <x:c r="E122" s="49"/>
      <x:c r="F122" s="49"/>
    </x:row>
    <x:row r="123">
      <x:c r="E123" s="49"/>
      <x:c r="F123" s="49"/>
    </x:row>
    <x:row r="124">
      <x:c r="E124" s="49"/>
      <x:c r="F124" s="49"/>
    </x:row>
    <x:row r="125">
      <x:c r="E125" s="49"/>
      <x:c r="F125" s="49"/>
    </x:row>
    <x:row r="126">
      <x:c r="E126" s="49"/>
      <x:c r="F126" s="49"/>
    </x:row>
    <x:row r="127">
      <x:c r="E127" s="49"/>
      <x:c r="F127" s="49"/>
    </x:row>
    <x:row r="128">
      <x:c r="E128" s="49"/>
      <x:c r="F128" s="49"/>
    </x:row>
    <x:row r="129">
      <x:c r="E129" s="49"/>
      <x:c r="F129" s="49"/>
    </x:row>
    <x:row r="130">
      <x:c r="E130" s="49"/>
      <x:c r="F130" s="49"/>
    </x:row>
    <x:row r="131">
      <x:c r="E131" s="49"/>
      <x:c r="F131" s="49"/>
    </x:row>
    <x:row r="132">
      <x:c r="E132" s="49"/>
      <x:c r="F132" s="49"/>
    </x:row>
    <x:row r="133">
      <x:c r="E133" s="49"/>
      <x:c r="F133" s="49"/>
    </x:row>
    <x:row r="134">
      <x:c r="E134" s="49"/>
      <x:c r="F134" s="49"/>
    </x:row>
    <x:row r="135">
      <x:c r="E135" s="49"/>
      <x:c r="F135" s="49"/>
    </x:row>
    <x:row r="136">
      <x:c r="E136" s="49"/>
      <x:c r="F136" s="49"/>
    </x:row>
    <x:row r="137">
      <x:c r="E137" s="49"/>
      <x:c r="F137" s="49"/>
    </x:row>
    <x:row r="138">
      <x:c r="E138" s="49"/>
      <x:c r="F138" s="49"/>
    </x:row>
    <x:row r="139">
      <x:c r="E139" s="49"/>
      <x:c r="F139" s="49"/>
    </x:row>
    <x:row r="140">
      <x:c r="E140" s="49"/>
      <x:c r="F140" s="49"/>
    </x:row>
    <x:row r="141">
      <x:c r="E141" s="49"/>
      <x:c r="F141" s="49"/>
    </x:row>
    <x:row r="142">
      <x:c r="E142" s="49"/>
      <x:c r="F142" s="49"/>
    </x:row>
    <x:row r="143">
      <x:c r="E143" s="49"/>
      <x:c r="F143" s="49"/>
    </x:row>
    <x:row r="144">
      <x:c r="E144" s="49"/>
      <x:c r="F144" s="49"/>
    </x:row>
    <x:row r="145">
      <x:c r="E145" s="49"/>
      <x:c r="F145" s="49"/>
    </x:row>
    <x:row r="146">
      <x:c r="E146" s="49"/>
      <x:c r="F146" s="49"/>
    </x:row>
    <x:row r="147">
      <x:c r="E147" s="49"/>
      <x:c r="F147" s="49"/>
    </x:row>
    <x:row r="148">
      <x:c r="E148" s="49"/>
      <x:c r="F148" s="49"/>
    </x:row>
    <x:row r="149">
      <x:c r="E149" s="49"/>
      <x:c r="F149" s="49"/>
    </x:row>
    <x:row r="150">
      <x:c r="E150" s="49"/>
      <x:c r="F150" s="49"/>
    </x:row>
    <x:row r="151">
      <x:c r="E151" s="49"/>
      <x:c r="F151" s="49"/>
    </x:row>
    <x:row r="152">
      <x:c r="E152" s="49"/>
      <x:c r="F152" s="49"/>
    </x:row>
    <x:row r="153">
      <x:c r="E153" s="49"/>
      <x:c r="F153" s="49"/>
    </x:row>
    <x:row r="154">
      <x:c r="E154" s="49"/>
      <x:c r="F154" s="49"/>
    </x:row>
    <x:row r="155">
      <x:c r="E155" s="49"/>
      <x:c r="F155" s="49"/>
    </x:row>
    <x:row r="156">
      <x:c r="E156" s="49"/>
      <x:c r="F156" s="49"/>
    </x:row>
    <x:row r="157">
      <x:c r="E157" s="49"/>
      <x:c r="F157" s="49"/>
    </x:row>
    <x:row r="158">
      <x:c r="E158" s="49"/>
      <x:c r="F158" s="49"/>
    </x:row>
    <x:row r="159">
      <x:c r="E159" s="49"/>
      <x:c r="F159" s="49"/>
    </x:row>
    <x:row r="160">
      <x:c r="E160" s="49"/>
      <x:c r="F160" s="49"/>
    </x:row>
    <x:row r="161">
      <x:c r="E161" s="49"/>
      <x:c r="F161" s="49"/>
    </x:row>
    <x:row r="162">
      <x:c r="E162" s="49"/>
      <x:c r="F162" s="49"/>
    </x:row>
    <x:row r="163">
      <x:c r="E163" s="49"/>
      <x:c r="F163" s="49"/>
    </x:row>
    <x:row r="164">
      <x:c r="E164" s="49"/>
      <x:c r="F164" s="49"/>
    </x:row>
    <x:row r="165">
      <x:c r="E165" s="49"/>
      <x:c r="F165" s="49"/>
    </x:row>
    <x:row r="166">
      <x:c r="E166" s="49"/>
      <x:c r="F166" s="49"/>
    </x:row>
    <x:row r="167">
      <x:c r="E167" s="49"/>
      <x:c r="F167" s="49"/>
    </x:row>
    <x:row r="168">
      <x:c r="E168" s="49"/>
      <x:c r="F168" s="49"/>
    </x:row>
    <x:row r="169">
      <x:c r="E169" s="49"/>
      <x:c r="F169" s="49"/>
    </x:row>
    <x:row r="170">
      <x:c r="E170" s="49"/>
      <x:c r="F170" s="49"/>
    </x:row>
    <x:row r="171">
      <x:c r="E171" s="49"/>
      <x:c r="F171" s="49"/>
    </x:row>
    <x:row r="172">
      <x:c r="E172" s="49"/>
      <x:c r="F172" s="49"/>
    </x:row>
    <x:row r="173">
      <x:c r="E173" s="49"/>
      <x:c r="F173" s="49"/>
    </x:row>
    <x:row r="174">
      <x:c r="E174" s="49"/>
      <x:c r="F174" s="49"/>
    </x:row>
    <x:row r="175">
      <x:c r="E175" s="49"/>
      <x:c r="F175" s="49"/>
    </x:row>
    <x:row r="176">
      <x:c r="E176" s="49"/>
      <x:c r="F176" s="49"/>
    </x:row>
    <x:row r="177">
      <x:c r="E177" s="49"/>
      <x:c r="F177" s="49"/>
    </x:row>
    <x:row r="178">
      <x:c r="E178" s="49"/>
      <x:c r="F178" s="49"/>
    </x:row>
    <x:row r="179">
      <x:c r="E179" s="49"/>
      <x:c r="F179" s="49"/>
    </x:row>
    <x:row r="180">
      <x:c r="E180" s="49"/>
      <x:c r="F180" s="49"/>
    </x:row>
    <x:row r="181">
      <x:c r="E181" s="49"/>
      <x:c r="F181" s="49"/>
    </x:row>
    <x:row r="182">
      <x:c r="E182" s="49"/>
      <x:c r="F182" s="49"/>
    </x:row>
    <x:row r="183">
      <x:c r="E183" s="49"/>
      <x:c r="F183" s="49"/>
    </x:row>
    <x:row r="184">
      <x:c r="E184" s="49"/>
      <x:c r="F184" s="49"/>
    </x:row>
    <x:row r="185">
      <x:c r="E185" s="49"/>
      <x:c r="F185" s="49"/>
    </x:row>
    <x:row r="186">
      <x:c r="E186" s="49"/>
      <x:c r="F186" s="49"/>
    </x:row>
    <x:row r="187">
      <x:c r="E187" s="49"/>
      <x:c r="F187" s="49"/>
    </x:row>
    <x:row r="188">
      <x:c r="E188" s="49"/>
      <x:c r="F188" s="49"/>
    </x:row>
    <x:row r="189">
      <x:c r="E189" s="49"/>
      <x:c r="F189" s="49"/>
    </x:row>
    <x:row r="190">
      <x:c r="E190" s="49"/>
      <x:c r="F190" s="49"/>
    </x:row>
    <x:row r="191">
      <x:c r="E191" s="49"/>
      <x:c r="F191" s="49"/>
    </x:row>
    <x:row r="192">
      <x:c r="E192" s="49"/>
      <x:c r="F192" s="49"/>
    </x:row>
    <x:row r="193">
      <x:c r="E193" s="49"/>
      <x:c r="F193" s="49"/>
    </x:row>
    <x:row r="194">
      <x:c r="E194" s="49"/>
      <x:c r="F194" s="49"/>
    </x:row>
    <x:row r="195">
      <x:c r="E195" s="49"/>
      <x:c r="F195" s="49"/>
    </x:row>
    <x:row r="196">
      <x:c r="E196" s="49"/>
      <x:c r="F196" s="49"/>
    </x:row>
    <x:row r="197">
      <x:c r="E197" s="49"/>
      <x:c r="F197" s="49"/>
    </x:row>
    <x:row r="198">
      <x:c r="E198" s="49"/>
      <x:c r="F198" s="49"/>
    </x:row>
    <x:row r="199">
      <x:c r="E199" s="49"/>
      <x:c r="F199" s="49"/>
    </x:row>
    <x:row r="200">
      <x:c r="E200" s="49"/>
      <x:c r="F200" s="49"/>
    </x:row>
  </x:sheetData>
  <x:mergeCells>
    <x:mergeCell ref="A1:N1"/>
    <x:mergeCell ref="A2:H2"/>
  </x:mergeCells>
  <x:dataValidations count="2">
    <x:dataValidation type="list" sqref="C5:C200">
      <x:formula1>"QA,UAT,Staging,Production-like"</x:formula1>
    </x:dataValidation>
    <x:dataValidation type="list" sqref="D5:D200">
      <x:formula1>"Level 1,Level 2,Level 3,Full Regression"</x:formula1>
    </x:dataValidation>
  </x:dataValidations>
  <x:pageMargins left="0.7" right="0.7" top="0.75" bottom="0.75" header="0.3" footer="0.3"/>
  <x:tableParts count="1">
    <x:tablePart xmlns:r="http://schemas.openxmlformats.org/officeDocument/2006/relationships" r:id="R8401f516cb714b6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48" hidden="0" customWidth="1"/>
    <x:col min="4" max="4" width="28" hidden="0" customWidth="1"/>
    <x:col min="5" max="5" width="14" hidden="0" customWidth="1"/>
    <x:col min="6" max="6" width="36" hidden="0" customWidth="1"/>
  </x:cols>
  <x:sheetData>
    <x:row r="1" ht="34" customHeight="1">
      <x:c r="A1" s="4" t="str">
        <x:v>LISTS, COLOR LEGEND AND RELEASE RULES</x:v>
      </x:c>
      <x:c r="B1" s="4" t="str">
        <x:v>LISTS, COLOR LEGEND AND RELEASE RULES</x:v>
      </x:c>
      <x:c r="C1" s="4" t="str">
        <x:v>LISTS, COLOR LEGEND AND RELEASE RULES</x:v>
      </x:c>
      <x:c r="D1" s="4" t="str">
        <x:v>LISTS, COLOR LEGEND AND RELEASE RULES</x:v>
      </x:c>
      <x:c r="E1" s="4" t="str">
        <x:v>LISTS, COLOR LEGEND AND RELEASE RULES</x:v>
      </x:c>
      <x:c r="F1" s="4" t="str">
        <x:v>LISTS, COLOR LEGEND AND RELEASE RULES</x:v>
      </x:c>
    </x:row>
    <x:row r="2" ht="28" customHeight="1">
      <x:c r="A2" s="7" t="str">
        <x:v>Yellow cells are editable inputs. Formula cells must not be overwritten.</x:v>
      </x:c>
      <x:c r="B2" s="7" t="str">
        <x:v>Yellow cells are editable inputs. Formula cells must not be overwritten.</x:v>
      </x:c>
      <x:c r="C2" s="7" t="str">
        <x:v>Yellow cells are editable inputs. Formula cells must not be overwritten.</x:v>
      </x:c>
      <x:c r="D2" s="7" t="str">
        <x:v>Yellow cells are editable inputs. Formula cells must not be overwritten.</x:v>
      </x:c>
      <x:c r="E2" s="7" t="str">
        <x:v>Yellow cells are editable inputs. Formula cells must not be overwritten.</x:v>
      </x:c>
      <x:c r="F2" s="7" t="str">
        <x:v>Yellow cells are editable inputs. Formula cells must not be overwritten.</x:v>
      </x:c>
      <x:c r="G2" s="7" t="str">
        <x:v>Yellow cells are editable inputs. Formula cells must not be overwritten.</x:v>
      </x:c>
      <x:c r="H2" s="7" t="str">
        <x:v>Yellow cells are editable inputs. Formula cells must not be overwritten.</x:v>
      </x:c>
    </x:row>
    <x:row r="4" ht="30" customHeight="1">
      <x:c r="A4" s="19" t="str">
        <x:v>Status</x:v>
      </x:c>
      <x:c r="B4" s="21" t="str">
        <x:v>Meaning</x:v>
      </x:c>
      <x:c r="D4" s="19" t="str">
        <x:v>Release rule</x:v>
      </x:c>
      <x:c r="E4" s="20" t="str">
        <x:v>Default</x:v>
      </x:c>
      <x:c r="F4" s="21" t="str">
        <x:v>Purpose</x:v>
      </x:c>
    </x:row>
    <x:row r="5">
      <x:c r="A5" t="str">
        <x:v>Not Run</x:v>
      </x:c>
      <x:c r="B5" t="str">
        <x:v>Not executed</x:v>
      </x:c>
      <x:c r="D5" t="str">
        <x:v>Sales readiness</x:v>
      </x:c>
      <x:c r="E5" s="30" t="n">
        <x:v>1</x:v>
      </x:c>
      <x:c r="F5" t="str">
        <x:v>Dashboard must reach target</x:v>
      </x:c>
    </x:row>
    <x:row r="6">
      <x:c r="A6" t="str">
        <x:v>Passed</x:v>
      </x:c>
      <x:c r="B6" t="str">
        <x:v>Actual result matches expected result</x:v>
      </x:c>
      <x:c r="D6" t="str">
        <x:v>Level 1 execution</x:v>
      </x:c>
      <x:c r="E6" s="30" t="n">
        <x:v>1</x:v>
      </x:c>
      <x:c r="F6" t="str">
        <x:v>All core tests</x:v>
      </x:c>
    </x:row>
    <x:row r="7">
      <x:c r="A7" t="str">
        <x:v>Failed</x:v>
      </x:c>
      <x:c r="B7" t="str">
        <x:v>Unexpected result; defect required</x:v>
      </x:c>
      <x:c r="D7" t="str">
        <x:v>Level 1 pass</x:v>
      </x:c>
      <x:c r="E7" s="30" t="n">
        <x:v>1</x:v>
      </x:c>
      <x:c r="F7" t="str">
        <x:v>No core failure</x:v>
      </x:c>
    </x:row>
    <x:row r="8">
      <x:c r="A8" t="str">
        <x:v>Blocked</x:v>
      </x:c>
      <x:c r="B8" t="str">
        <x:v>Cannot execute because of dependency/defect</x:v>
      </x:c>
      <x:c r="D8" t="str">
        <x:v>Level 2 execution</x:v>
      </x:c>
      <x:c r="E8" s="30" t="n">
        <x:v>0.95</x:v>
      </x:c>
      <x:c r="F8" t="str">
        <x:v>Detailed coverage</x:v>
      </x:c>
    </x:row>
    <x:row r="9">
      <x:c r="A9" t="str">
        <x:v>N/A</x:v>
      </x:c>
      <x:c r="B9" t="str">
        <x:v>Not applicable with approved reason</x:v>
      </x:c>
      <x:c r="D9" t="str">
        <x:v>Level 2 pass</x:v>
      </x:c>
      <x:c r="E9" s="30" t="n">
        <x:v>0.95</x:v>
      </x:c>
      <x:c r="F9" t="str">
        <x:v>Functional quality</x:v>
      </x:c>
    </x:row>
    <x:row r="10">
      <x:c r="D10" t="str">
        <x:v>Level 3 execution</x:v>
      </x:c>
      <x:c r="E10" s="30" t="n">
        <x:v>1</x:v>
      </x:c>
      <x:c r="F10" t="str">
        <x:v>All market-readiness tests</x:v>
      </x:c>
    </x:row>
    <x:row r="11">
      <x:c r="D11" t="str">
        <x:v>Level 3 pass</x:v>
      </x:c>
      <x:c r="E11" s="30" t="n">
        <x:v>0.98</x:v>
      </x:c>
      <x:c r="F11" t="str">
        <x:v>Release-candidate quality</x:v>
      </x:c>
    </x:row>
    <x:row r="12">
      <x:c r="D12" t="str">
        <x:v>Gate evidence</x:v>
      </x:c>
      <x:c r="E12" s="30" t="n">
        <x:v>1</x:v>
      </x:c>
      <x:c r="F12" t="str">
        <x:v>Proof for mandatory cases</x:v>
      </x:c>
    </x:row>
    <x:row r="13">
      <x:c r="D13" t="str">
        <x:v>Open Critical/High</x:v>
      </x:c>
      <x:c r="E13" t="n">
        <x:v>0</x:v>
      </x:c>
      <x:c r="F13" t="str">
        <x:v>No release blocker</x:v>
      </x:c>
    </x:row>
  </x:sheetData>
  <x:mergeCells>
    <x:mergeCell ref="A1:F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4" customHeight="1">
      <x:c r="A1" s="4" t="str">
        <x:v>HOW TO USE THIS WORKBOOK</x:v>
      </x:c>
      <x:c r="B1" s="4" t="str">
        <x:v>HOW TO USE THIS WORKBOOK</x:v>
      </x:c>
      <x:c r="C1" s="4" t="str">
        <x:v>HOW TO USE THIS WORKBOOK</x:v>
      </x:c>
      <x:c r="D1" s="4" t="str">
        <x:v>HOW TO USE THIS WORKBOOK</x:v>
      </x:c>
      <x:c r="E1" s="4" t="str">
        <x:v>HOW TO USE THIS WORKBOOK</x:v>
      </x:c>
      <x:c r="F1" s="4" t="str">
        <x:v>HOW TO USE THIS WORKBOOK</x:v>
      </x:c>
      <x:c r="G1" s="4" t="str">
        <x:v>HOW TO USE THIS WORKBOOK</x:v>
      </x:c>
      <x:c r="H1" s="4" t="str">
        <x:v>HOW TO USE THIS WORKBOOK</x:v>
      </x:c>
    </x:row>
    <x:row r="2" ht="28" customHeight="1">
      <x:c r="A2" s="7" t="str">
        <x:v>Follow these steps. Do not manually type dashboard percentages.</x:v>
      </x:c>
      <x:c r="B2" s="7" t="str">
        <x:v>Follow these steps. Do not manually type dashboard percentages.</x:v>
      </x:c>
      <x:c r="C2" s="7" t="str">
        <x:v>Follow these steps. Do not manually type dashboard percentages.</x:v>
      </x:c>
      <x:c r="D2" s="7" t="str">
        <x:v>Follow these steps. Do not manually type dashboard percentages.</x:v>
      </x:c>
      <x:c r="E2" s="7" t="str">
        <x:v>Follow these steps. Do not manually type dashboard percentages.</x:v>
      </x:c>
      <x:c r="F2" s="7" t="str">
        <x:v>Follow these steps. Do not manually type dashboard percentages.</x:v>
      </x:c>
      <x:c r="G2" s="7" t="str">
        <x:v>Follow these steps. Do not manually type dashboard percentages.</x:v>
      </x:c>
      <x:c r="H2" s="7" t="str">
        <x:v>Follow these steps. Do not manually type dashboard percentages.</x:v>
      </x:c>
    </x:row>
    <x:row r="4" ht="34" customHeight="1">
      <x:c r="A4" s="54" t="str">
        <x:v>1. Open Test Cases and filter by Level, Module, Role or Priority.</x:v>
      </x:c>
      <x:c r="B4" s="54" t="str">
        <x:v>1. Open Test Cases and filter by Level, Module, Role or Priority.</x:v>
      </x:c>
      <x:c r="C4" s="54" t="str">
        <x:v>1. Open Test Cases and filter by Level, Module, Role or Priority.</x:v>
      </x:c>
      <x:c r="D4" s="54" t="str">
        <x:v>1. Open Test Cases and filter by Level, Module, Role or Priority.</x:v>
      </x:c>
      <x:c r="E4" s="54" t="str">
        <x:v>1. Open Test Cases and filter by Level, Module, Role or Priority.</x:v>
      </x:c>
      <x:c r="F4" s="54" t="str">
        <x:v>1. Open Test Cases and filter by Level, Module, Role or Priority.</x:v>
      </x:c>
      <x:c r="G4" s="54" t="str">
        <x:v>1. Open Test Cases and filter by Level, Module, Role or Priority.</x:v>
      </x:c>
      <x:c r="H4" s="54" t="str">
        <x:v>1. Open Test Cases and filter by Level, Module, Role or Priority.</x:v>
      </x:c>
    </x:row>
    <x:row r="6" ht="34" customHeight="1">
      <x:c r="A6" s="54" t="str">
        <x:v>2. Enter Status, Actual Result, Defect, Tester, Build, Date and Evidence in the yellow columns.</x:v>
      </x:c>
      <x:c r="B6" s="54" t="str">
        <x:v>2. Enter Status, Actual Result, Defect, Tester, Build, Date and Evidence in the yellow columns.</x:v>
      </x:c>
      <x:c r="C6" s="54" t="str">
        <x:v>2. Enter Status, Actual Result, Defect, Tester, Build, Date and Evidence in the yellow columns.</x:v>
      </x:c>
      <x:c r="D6" s="54" t="str">
        <x:v>2. Enter Status, Actual Result, Defect, Tester, Build, Date and Evidence in the yellow columns.</x:v>
      </x:c>
      <x:c r="E6" s="54" t="str">
        <x:v>2. Enter Status, Actual Result, Defect, Tester, Build, Date and Evidence in the yellow columns.</x:v>
      </x:c>
      <x:c r="F6" s="54" t="str">
        <x:v>2. Enter Status, Actual Result, Defect, Tester, Build, Date and Evidence in the yellow columns.</x:v>
      </x:c>
      <x:c r="G6" s="54" t="str">
        <x:v>2. Enter Status, Actual Result, Defect, Tester, Build, Date and Evidence in the yellow columns.</x:v>
      </x:c>
      <x:c r="H6" s="54" t="str">
        <x:v>2. Enter Status, Actual Result, Defect, Tester, Build, Date and Evidence in the yellow columns.</x:v>
      </x:c>
    </x:row>
    <x:row r="8" ht="34" customHeight="1">
      <x:c r="A8" s="54" t="str">
        <x:v>3. Create each defect in Defects and use the same Defect ID in Test Cases.</x:v>
      </x:c>
      <x:c r="B8" s="54" t="str">
        <x:v>3. Create each defect in Defects and use the same Defect ID in Test Cases.</x:v>
      </x:c>
      <x:c r="C8" s="54" t="str">
        <x:v>3. Create each defect in Defects and use the same Defect ID in Test Cases.</x:v>
      </x:c>
      <x:c r="D8" s="54" t="str">
        <x:v>3. Create each defect in Defects and use the same Defect ID in Test Cases.</x:v>
      </x:c>
      <x:c r="E8" s="54" t="str">
        <x:v>3. Create each defect in Defects and use the same Defect ID in Test Cases.</x:v>
      </x:c>
      <x:c r="F8" s="54" t="str">
        <x:v>3. Create each defect in Defects and use the same Defect ID in Test Cases.</x:v>
      </x:c>
      <x:c r="G8" s="54" t="str">
        <x:v>3. Create each defect in Defects and use the same Defect ID in Test Cases.</x:v>
      </x:c>
      <x:c r="H8" s="54" t="str">
        <x:v>3. Create each defect in Defects and use the same Defect ID in Test Cases.</x:v>
      </x:c>
    </x:row>
    <x:row r="10" ht="34" customHeight="1">
      <x:c r="A10" s="54" t="str">
        <x:v>4. Review Level Summary and Module Summary after every test cycle.</x:v>
      </x:c>
      <x:c r="B10" s="54" t="str">
        <x:v>4. Review Level Summary and Module Summary after every test cycle.</x:v>
      </x:c>
      <x:c r="C10" s="54" t="str">
        <x:v>4. Review Level Summary and Module Summary after every test cycle.</x:v>
      </x:c>
      <x:c r="D10" s="54" t="str">
        <x:v>4. Review Level Summary and Module Summary after every test cycle.</x:v>
      </x:c>
      <x:c r="E10" s="54" t="str">
        <x:v>4. Review Level Summary and Module Summary after every test cycle.</x:v>
      </x:c>
      <x:c r="F10" s="54" t="str">
        <x:v>4. Review Level Summary and Module Summary after every test cycle.</x:v>
      </x:c>
      <x:c r="G10" s="54" t="str">
        <x:v>4. Review Level Summary and Module Summary after every test cycle.</x:v>
      </x:c>
      <x:c r="H10" s="54" t="str">
        <x:v>4. Review Level Summary and Module Summary after every test cycle.</x:v>
      </x:c>
    </x:row>
    <x:row r="12" ht="34" customHeight="1">
      <x:c r="A12" s="54" t="str">
        <x:v>5. Review Release Dashboard. READY FOR SALES appears only when all configured gates pass.</x:v>
      </x:c>
      <x:c r="B12" s="54" t="str">
        <x:v>5. Review Release Dashboard. READY FOR SALES appears only when all configured gates pass.</x:v>
      </x:c>
      <x:c r="C12" s="54" t="str">
        <x:v>5. Review Release Dashboard. READY FOR SALES appears only when all configured gates pass.</x:v>
      </x:c>
      <x:c r="D12" s="54" t="str">
        <x:v>5. Review Release Dashboard. READY FOR SALES appears only when all configured gates pass.</x:v>
      </x:c>
      <x:c r="E12" s="54" t="str">
        <x:v>5. Review Release Dashboard. READY FOR SALES appears only when all configured gates pass.</x:v>
      </x:c>
      <x:c r="F12" s="54" t="str">
        <x:v>5. Review Release Dashboard. READY FOR SALES appears only when all configured gates pass.</x:v>
      </x:c>
      <x:c r="G12" s="54" t="str">
        <x:v>5. Review Release Dashboard. READY FOR SALES appears only when all configured gates pass.</x:v>
      </x:c>
      <x:c r="H12" s="54" t="str">
        <x:v>5. Review Release Dashboard. READY FOR SALES appears only when all configured gates pass.</x:v>
      </x:c>
    </x:row>
    <x:row r="14" ht="34" customHeight="1">
      <x:c r="A14" s="58" t="str">
        <x:v>Important: 10% testing is not a safe market-release threshold. The default Sales Readiness Target is 100%.</x:v>
      </x:c>
      <x:c r="B14" s="58" t="str">
        <x:v>Important: 10% testing is not a safe market-release threshold. The default Sales Readiness Target is 100%.</x:v>
      </x:c>
      <x:c r="C14" s="58" t="str">
        <x:v>Important: 10% testing is not a safe market-release threshold. The default Sales Readiness Target is 100%.</x:v>
      </x:c>
      <x:c r="D14" s="58" t="str">
        <x:v>Important: 10% testing is not a safe market-release threshold. The default Sales Readiness Target is 100%.</x:v>
      </x:c>
      <x:c r="E14" s="58" t="str">
        <x:v>Important: 10% testing is not a safe market-release threshold. The default Sales Readiness Target is 100%.</x:v>
      </x:c>
      <x:c r="F14" s="58" t="str">
        <x:v>Important: 10% testing is not a safe market-release threshold. The default Sales Readiness Target is 100%.</x:v>
      </x:c>
      <x:c r="G14" s="58" t="str">
        <x:v>Important: 10% testing is not a safe market-release threshold. The default Sales Readiness Target is 100%.</x:v>
      </x:c>
      <x:c r="H14" s="58" t="str">
        <x:v>Important: 10% testing is not a safe market-release threshold. The default Sales Readiness Target is 100%.</x:v>
      </x:c>
    </x:row>
  </x:sheetData>
  <x:mergeCells>
    <x:mergeCell ref="A1:H1"/>
    <x:mergeCell ref="A2:H2"/>
    <x:mergeCell ref="A4:H4"/>
    <x:mergeCell ref="A6:H6"/>
    <x:mergeCell ref="A8:H8"/>
    <x:mergeCell ref="A10:H10"/>
    <x:mergeCell ref="A12:H12"/>
    <x:mergeCell ref="A14:H14"/>
  </x:mergeCells>
  <x:pageMargins left="0.7" right="0.7" top="0.75" bottom="0.75" header="0.3" footer="0.3"/>
</x:worksheet>
</file>