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LIMS\Lims\"/>
    </mc:Choice>
  </mc:AlternateContent>
  <xr:revisionPtr revIDLastSave="0" documentId="13_ncr:1_{D87DD982-2138-4AF3-87EB-ABE36F583404}" xr6:coauthVersionLast="47" xr6:coauthVersionMax="47" xr10:uidLastSave="{00000000-0000-0000-0000-000000000000}"/>
  <bookViews>
    <workbookView xWindow="-108" yWindow="-108" windowWidth="23256" windowHeight="12456" xr2:uid="{00000000-000D-0000-FFFF-FFFF00000000}"/>
  </bookViews>
  <sheets>
    <sheet name="Bug Tracker - 85" sheetId="1" r:id="rId1"/>
    <sheet name="Developer Rework Summary" sheetId="2" r:id="rId2"/>
    <sheet name="Module Wise Bugs" sheetId="3" r:id="rId3"/>
    <sheet name="Lookup" sheetId="4" r:id="rId4"/>
  </sheets>
  <definedNames>
    <definedName name="_xlnm._FilterDatabase" localSheetId="0" hidden="1">'Bug Tracker - 85'!$A$1:$AK$86</definedName>
    <definedName name="_xlnm._FilterDatabase" localSheetId="2" hidden="1">'Module Wise Bugs'!$A$1:$I$18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 i="3" l="1"/>
  <c r="H18" i="3"/>
  <c r="G18" i="3"/>
  <c r="F18" i="3"/>
  <c r="E18" i="3"/>
  <c r="D18" i="3"/>
  <c r="C18" i="3"/>
  <c r="B18" i="3"/>
  <c r="I17" i="3"/>
  <c r="H17" i="3"/>
  <c r="G17" i="3"/>
  <c r="F17" i="3"/>
  <c r="E17" i="3"/>
  <c r="D17" i="3"/>
  <c r="C17" i="3"/>
  <c r="B17" i="3"/>
  <c r="I16" i="3"/>
  <c r="H16" i="3"/>
  <c r="G16" i="3"/>
  <c r="F16" i="3"/>
  <c r="E16" i="3"/>
  <c r="D16" i="3"/>
  <c r="C16" i="3"/>
  <c r="B16" i="3"/>
  <c r="I15" i="3"/>
  <c r="H15" i="3"/>
  <c r="G15" i="3"/>
  <c r="F15" i="3"/>
  <c r="E15" i="3"/>
  <c r="D15" i="3"/>
  <c r="C15" i="3"/>
  <c r="B15" i="3"/>
  <c r="I14" i="3"/>
  <c r="H14" i="3"/>
  <c r="G14" i="3"/>
  <c r="F14" i="3"/>
  <c r="E14" i="3"/>
  <c r="D14" i="3"/>
  <c r="C14" i="3"/>
  <c r="B14" i="3"/>
  <c r="I13" i="3"/>
  <c r="H13" i="3"/>
  <c r="G13" i="3"/>
  <c r="F13" i="3"/>
  <c r="E13" i="3"/>
  <c r="D13" i="3"/>
  <c r="C13" i="3"/>
  <c r="B13" i="3"/>
  <c r="I12" i="3"/>
  <c r="H12" i="3"/>
  <c r="G12" i="3"/>
  <c r="F12" i="3"/>
  <c r="E12" i="3"/>
  <c r="D12" i="3"/>
  <c r="C12" i="3"/>
  <c r="B12" i="3"/>
  <c r="I11" i="3"/>
  <c r="H11" i="3"/>
  <c r="G11" i="3"/>
  <c r="F11" i="3"/>
  <c r="E11" i="3"/>
  <c r="D11" i="3"/>
  <c r="C11" i="3"/>
  <c r="B11" i="3"/>
  <c r="I10" i="3"/>
  <c r="H10" i="3"/>
  <c r="G10" i="3"/>
  <c r="F10" i="3"/>
  <c r="E10" i="3"/>
  <c r="D10" i="3"/>
  <c r="C10" i="3"/>
  <c r="B10" i="3"/>
  <c r="I9" i="3"/>
  <c r="H9" i="3"/>
  <c r="G9" i="3"/>
  <c r="F9" i="3"/>
  <c r="E9" i="3"/>
  <c r="D9" i="3"/>
  <c r="C9" i="3"/>
  <c r="B9" i="3"/>
  <c r="I8" i="3"/>
  <c r="H8" i="3"/>
  <c r="G8" i="3"/>
  <c r="F8" i="3"/>
  <c r="E8" i="3"/>
  <c r="D8" i="3"/>
  <c r="C8" i="3"/>
  <c r="B8" i="3"/>
  <c r="I7" i="3"/>
  <c r="H7" i="3"/>
  <c r="G7" i="3"/>
  <c r="F7" i="3"/>
  <c r="E7" i="3"/>
  <c r="D7" i="3"/>
  <c r="C7" i="3"/>
  <c r="B7" i="3"/>
  <c r="I6" i="3"/>
  <c r="H6" i="3"/>
  <c r="G6" i="3"/>
  <c r="F6" i="3"/>
  <c r="E6" i="3"/>
  <c r="D6" i="3"/>
  <c r="C6" i="3"/>
  <c r="B6" i="3"/>
  <c r="I5" i="3"/>
  <c r="H5" i="3"/>
  <c r="G5" i="3"/>
  <c r="F5" i="3"/>
  <c r="E5" i="3"/>
  <c r="D5" i="3"/>
  <c r="C5" i="3"/>
  <c r="B5" i="3"/>
  <c r="I4" i="3"/>
  <c r="H4" i="3"/>
  <c r="G4" i="3"/>
  <c r="F4" i="3"/>
  <c r="E4" i="3"/>
  <c r="D4" i="3"/>
  <c r="C4" i="3"/>
  <c r="B4" i="3"/>
  <c r="I3" i="3"/>
  <c r="H3" i="3"/>
  <c r="G3" i="3"/>
  <c r="F3" i="3"/>
  <c r="E3" i="3"/>
  <c r="D3" i="3"/>
  <c r="C3" i="3"/>
  <c r="B3" i="3"/>
  <c r="I2" i="3"/>
  <c r="H2" i="3"/>
  <c r="G2" i="3"/>
  <c r="F2" i="3"/>
  <c r="E2" i="3"/>
  <c r="D2" i="3"/>
  <c r="C2" i="3"/>
  <c r="B2" i="3"/>
  <c r="B13" i="2"/>
  <c r="B12" i="2"/>
  <c r="B11" i="2"/>
  <c r="B10" i="2"/>
  <c r="B9" i="2"/>
  <c r="B8" i="2"/>
  <c r="B7" i="2"/>
  <c r="B6" i="2"/>
  <c r="B5" i="2"/>
  <c r="B4" i="2"/>
  <c r="B3" i="2"/>
  <c r="B2" i="2"/>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alcChain>
</file>

<file path=xl/sharedStrings.xml><?xml version="1.0" encoding="utf-8"?>
<sst xmlns="http://schemas.openxmlformats.org/spreadsheetml/2006/main" count="2344" uniqueCount="809">
  <si>
    <t>Bug ID</t>
  </si>
  <si>
    <t>Original Defect ID</t>
  </si>
  <si>
    <t>Test Case ID</t>
  </si>
  <si>
    <t>Level</t>
  </si>
  <si>
    <t>Module</t>
  </si>
  <si>
    <t>Submodule</t>
  </si>
  <si>
    <t>Scenario</t>
  </si>
  <si>
    <t>Test Type</t>
  </si>
  <si>
    <t>Role</t>
  </si>
  <si>
    <t>Priority</t>
  </si>
  <si>
    <t>Release Gate</t>
  </si>
  <si>
    <t>Original Status</t>
  </si>
  <si>
    <t>Bug Type</t>
  </si>
  <si>
    <t>Severity</t>
  </si>
  <si>
    <t>Bug Status</t>
  </si>
  <si>
    <t>Developer Name</t>
  </si>
  <si>
    <t>Developer Rework Date</t>
  </si>
  <si>
    <t>Opened Date</t>
  </si>
  <si>
    <t>Target Fix Date</t>
  </si>
  <si>
    <t>QA Retest Date</t>
  </si>
  <si>
    <t>Retest Result</t>
  </si>
  <si>
    <t>Final Status</t>
  </si>
  <si>
    <t>Age Days</t>
  </si>
  <si>
    <t>Environment</t>
  </si>
  <si>
    <t>Build</t>
  </si>
  <si>
    <t>Fix Build</t>
  </si>
  <si>
    <t>Tester</t>
  </si>
  <si>
    <t>Preconditions</t>
  </si>
  <si>
    <t>Test Data</t>
  </si>
  <si>
    <t>Steps</t>
  </si>
  <si>
    <t>Expected Result</t>
  </si>
  <si>
    <t>Actual Result</t>
  </si>
  <si>
    <t>Reason / Root Cause</t>
  </si>
  <si>
    <t>Developer Rework Required</t>
  </si>
  <si>
    <t>Fix Notes</t>
  </si>
  <si>
    <t>Evidence Link</t>
  </si>
  <si>
    <t>Comments</t>
  </si>
  <si>
    <t>BUG-001</t>
  </si>
  <si>
    <t>DL1001</t>
  </si>
  <si>
    <t>L1-001</t>
  </si>
  <si>
    <t>Level 1</t>
  </si>
  <si>
    <t>Platform</t>
  </si>
  <si>
    <t>Provision a lab tenant</t>
  </si>
  <si>
    <t>Smoke</t>
  </si>
  <si>
    <t>Developer Admin</t>
  </si>
  <si>
    <t>High</t>
  </si>
  <si>
    <t>Yes</t>
  </si>
  <si>
    <t>Failed</t>
  </si>
  <si>
    <t>Functional Bug</t>
  </si>
  <si>
    <t>Open</t>
  </si>
  <si>
    <t>Unassigned</t>
  </si>
  <si>
    <t>Pending</t>
  </si>
  <si>
    <t>UAT</t>
  </si>
  <si>
    <t>Premothan V</t>
  </si>
  <si>
    <t>Required master data and user exist.</t>
  </si>
  <si>
    <t>Use dedicated non-production test data.</t>
  </si>
  <si>
    <t>1. Sign in as Developer Admin. 2. Create a lab with an active plan and required modules. 3. Save or submit. 4. Refresh or reopen the record. 5. Compare the result with the pass condition.</t>
  </si>
  <si>
    <t>The tenant is created, isolated and can open its login page.</t>
  </si>
  <si>
    <t>Lab created successfully. But facing two bugs, and the concept needs to be altered.</t>
  </si>
  <si>
    <t>Failed result requires rework: Lab created successfully. But facing two bugs, and the concept needs to be altered.</t>
  </si>
  <si>
    <t>Fix Platform workflow for "Provision a lab tenant" so actual behavior matches expected result: The tenant is created, isolated and can open its login page.</t>
  </si>
  <si>
    <t>Please refer to the evidence link</t>
  </si>
  <si>
    <t>BUG-002</t>
  </si>
  <si>
    <t>DL1004</t>
  </si>
  <si>
    <t>L1-004</t>
  </si>
  <si>
    <t>Inventory</t>
  </si>
  <si>
    <t>Load opening stock</t>
  </si>
  <si>
    <t>Inventory Manager</t>
  </si>
  <si>
    <t>Low</t>
  </si>
  <si>
    <t>1. Sign in as Inventory Manager. 2. Create required inventory masters and load stock with batch and expiry. 3. Save or submit. 4. Refresh or reopen the record. 5. Compare the result with the pass condition.</t>
  </si>
  <si>
    <t>On-hand stock, batch, UOM and expiry are correct.</t>
  </si>
  <si>
    <t>Created everything. But the name field length must be extended</t>
  </si>
  <si>
    <t>Validation/UI rule issue: field constraints or required-field behavior do not match expected workflow.</t>
  </si>
  <si>
    <t>Fix Inventory workflow for "Load opening stock" so actual behavior matches expected result: On-hand stock, batch, UOM and expiry are correct.</t>
  </si>
  <si>
    <t>Need to retest</t>
  </si>
  <si>
    <t>BUG-003</t>
  </si>
  <si>
    <t>DL1010</t>
  </si>
  <si>
    <t>L1-010</t>
  </si>
  <si>
    <t>Samples</t>
  </si>
  <si>
    <t>Print or open sample barcode</t>
  </si>
  <si>
    <t>Phlebotomist</t>
  </si>
  <si>
    <t>Medium</t>
  </si>
  <si>
    <t>Not Required</t>
  </si>
  <si>
    <t>QA</t>
  </si>
  <si>
    <t>Stephen</t>
  </si>
  <si>
    <t>1. Sign in as Phlebotomist. 2. Open the generated sample and barcode. 3. Save or submit. 4. Refresh or reopen the record. 5. Compare the result with the pass condition.</t>
  </si>
  <si>
    <t>Sample ID, barcode, patient, bill and required sample type match.</t>
  </si>
  <si>
    <t>Can't create an appropriate role.</t>
  </si>
  <si>
    <t>Access/RBAC setup issue: required role or permission does not allow the testcase workflow to complete.</t>
  </si>
  <si>
    <t>Fix Samples workflow for "Print or open sample barcode" so actual behavior matches expected result: Sample ID, barcode, patient, bill and required sample type match.</t>
  </si>
  <si>
    <t>BUG-004</t>
  </si>
  <si>
    <t>DL1011</t>
  </si>
  <si>
    <t>L1-011</t>
  </si>
  <si>
    <t>Collect the sample</t>
  </si>
  <si>
    <t>1. Sign in as Phlebotomist. 2. Verify two patient identifiers, record collection/received details and mark Collected. 3. Save or submit. 4. Refresh or reopen the record. 5. Compare the result with the pass condition.</t>
  </si>
  <si>
    <t>Collection time, collector and custody event are saved.</t>
  </si>
  <si>
    <t>Fix Samples workflow for "Collect the sample" so actual behavior matches expected result: Collection time, collector and custody event are saved.</t>
  </si>
  <si>
    <t>BUG-005</t>
  </si>
  <si>
    <t>DL1012</t>
  </si>
  <si>
    <t>L1-012</t>
  </si>
  <si>
    <t>Move sample to processing</t>
  </si>
  <si>
    <t>Lab Technician</t>
  </si>
  <si>
    <t>Rishidharshini</t>
  </si>
  <si>
    <t>1. Sign in as Lab Technician. 2. Open the collected sample and start processing. 3. Save or submit. 4. Refresh or reopen the record. 5. Compare the result with the pass condition.</t>
  </si>
  <si>
    <t>Sample and bill-item statuses move forward in the correct order.</t>
  </si>
  <si>
    <t>The sample is not coming to processing</t>
  </si>
  <si>
    <t>Failed result requires rework: The sample is not coming to processing</t>
  </si>
  <si>
    <t>Fix Samples workflow for "Move sample to processing" so actual behavior matches expected result: Sample and bill-item statuses move forward in the correct order.</t>
  </si>
  <si>
    <t>Defect SS</t>
  </si>
  <si>
    <t>BUG-006</t>
  </si>
  <si>
    <t>DL1013</t>
  </si>
  <si>
    <t>L1-013</t>
  </si>
  <si>
    <t>Reserve or monitor test inventory</t>
  </si>
  <si>
    <t>1. Sign in as Lab Technician. 2. Check required item availability during sample processing. 3. Save or submit. 4. Refresh or reopen the record. 5. Compare the result with the pass condition.</t>
  </si>
  <si>
    <t>Reserved/on-hand stock and warnings follow the implemented rule.</t>
  </si>
  <si>
    <t>The Inventory Item can be submitted even if there is no stock and also when it begin to process, added inventory item is not available</t>
  </si>
  <si>
    <t>Inventory workflow issue: stock, UOM, expiry, or master data behavior does not meet expected result.</t>
  </si>
  <si>
    <t>Fix Inventory workflow for "Reserve or monitor test inventory" so actual behavior matches expected result: Reserved/on-hand stock and warnings follow the implemented rule.</t>
  </si>
  <si>
    <t>BUG-007</t>
  </si>
  <si>
    <t>DL1018</t>
  </si>
  <si>
    <t>L1-018</t>
  </si>
  <si>
    <t>Notifications</t>
  </si>
  <si>
    <t>Check report release notification</t>
  </si>
  <si>
    <t>Lab Manager</t>
  </si>
  <si>
    <t>1. Sign in as Lab Manager. 2. Refresh notifications after report release. 3. Save or submit. 4. Refresh or reopen the record. 5. Compare the result with the pass condition.</t>
  </si>
  <si>
    <t>Authorised users receive the correct report-release notification where implemented.</t>
  </si>
  <si>
    <t>Notification not received when report released</t>
  </si>
  <si>
    <t>Output/reporting issue: generated document, barcode, print, or download behavior needs correction.</t>
  </si>
  <si>
    <t>Fix Notifications workflow for "Check report release notification" so actual behavior matches expected result: Authorised users receive the correct report-release notification where implemented.</t>
  </si>
  <si>
    <t>BUG-008</t>
  </si>
  <si>
    <t>DL2047</t>
  </si>
  <si>
    <t>L1-019</t>
  </si>
  <si>
    <t>Doctor Portal</t>
  </si>
  <si>
    <t>View the referred patient's report</t>
  </si>
  <si>
    <t>Doctor Regular</t>
  </si>
  <si>
    <t>1. Sign in as Doctor Regular. 2. Sign in as the linked doctor and open the referred patient. 3. Save or submit. 4. Refresh or reopen the record. 5. Compare the result with the pass condition.</t>
  </si>
  <si>
    <t>Only owned referrals and Released reports are visible.</t>
  </si>
  <si>
    <t>The doctor was created successfully with the commission percentage given, but that is not reflected in the Doctor details UI.
Also, when I tried to log in as a doctor, the message showed that access was denied. So, I have tried to provide access for a doctor, but I am unable to save the changes.
Also, please remove doctor roles from the Roles and Permissions area.</t>
  </si>
  <si>
    <t>Fix Doctor Portal workflow for "View the referred patient's report" so actual behavior matches expected result: Only owned referrals and Released reports are visible.</t>
  </si>
  <si>
    <t>Need to fix the bug</t>
  </si>
  <si>
    <t>BUG-009</t>
  </si>
  <si>
    <t>DL2050</t>
  </si>
  <si>
    <t>L1-022</t>
  </si>
  <si>
    <t>Billing</t>
  </si>
  <si>
    <t>Complete payment</t>
  </si>
  <si>
    <t>Billing Cashier</t>
  </si>
  <si>
    <t>Critical</t>
  </si>
  <si>
    <t>1. Sign in as Billing Cashier. 2. Pay the remaining balance and issue the final receipt. 3. Save or submit. 4. Refresh or reopen the record. 5. Compare the result with the pass condition.</t>
  </si>
  <si>
    <t>Bill status becomes Paid and balance becomes zero.</t>
  </si>
  <si>
    <t>The total bill amount has been paid. But the pending amount is still showing in the view bill.</t>
  </si>
  <si>
    <t>Billing/accounts workflow issue: financial transaction or document flow needs developer rework.</t>
  </si>
  <si>
    <t>Fix Billing workflow for "Complete payment" so actual behavior matches expected result: Bill status becomes Paid and balance becomes zero.</t>
  </si>
  <si>
    <t>BUG-010</t>
  </si>
  <si>
    <t>DL2158</t>
  </si>
  <si>
    <t>L2-006</t>
  </si>
  <si>
    <t>Level 2</t>
  </si>
  <si>
    <t>Authentication &amp; Session</t>
  </si>
  <si>
    <t>Reset token reuse</t>
  </si>
  <si>
    <t>Security</t>
  </si>
  <si>
    <t>Tenant User</t>
  </si>
  <si>
    <t>No</t>
  </si>
  <si>
    <t>1. Sign in as Tenant User. 2. Use a reset credential twice. 3. Save or submit. 4. Refresh or reopen the record. 5. Compare the result with the pass condition.</t>
  </si>
  <si>
    <t>The second use is denied.</t>
  </si>
  <si>
    <t>The second use is not denied. The current password and the new password are the same.</t>
  </si>
  <si>
    <t>Failed result requires rework: The second use is not denied. The current password and the new password are the same.</t>
  </si>
  <si>
    <t>Fix Authentication &amp; Session workflow for "Reset token reuse" so actual behavior matches expected result: The second use is denied.</t>
  </si>
  <si>
    <t>BUG-011</t>
  </si>
  <si>
    <t>DL2161</t>
  </si>
  <si>
    <t>L2-009</t>
  </si>
  <si>
    <t>Session expiry</t>
  </si>
  <si>
    <t>Functional</t>
  </si>
  <si>
    <t>1. Sign in as Tenant User. 2. Use an expired session on UI and API. 3. Save or submit. 4. Refresh or reopen the record. 5. Compare the result with the pass condition.</t>
  </si>
  <si>
    <t>The user is asked to sign in again.</t>
  </si>
  <si>
    <t>The user is not asked to sign in again.</t>
  </si>
  <si>
    <t>Fix Authentication &amp; Session workflow for "Session expiry" so actual behavior matches expected result: The user is asked to sign in again.</t>
  </si>
  <si>
    <t>BUG-012</t>
  </si>
  <si>
    <t>DL2013</t>
  </si>
  <si>
    <t>L2-013</t>
  </si>
  <si>
    <t>RBAC &amp; Settings</t>
  </si>
  <si>
    <t>Dangerous permission grant</t>
  </si>
  <si>
    <t>N/A</t>
  </si>
  <si>
    <t>N/A Scope Review</t>
  </si>
  <si>
    <t>Needs Review</t>
  </si>
  <si>
    <t>Varshini</t>
  </si>
  <si>
    <t>18/09/2026</t>
  </si>
  <si>
    <t>Scope Review Pending</t>
  </si>
  <si>
    <t>Abinesh</t>
  </si>
  <si>
    <t>1. Sign in as Admin. 2. Grant refund, release or user-management permission. 3. Save or submit. 4. Refresh or reopen the record. 5. Compare the result with the pass condition.</t>
  </si>
  <si>
    <t>The grant follows the approved control and is auditable.</t>
  </si>
  <si>
    <t>N/A case requires QA/Product confirmation: mark as valid non-applicable, deferred scope, or convert to executable test.</t>
  </si>
  <si>
    <t>Review with QA/Product, document N/A justification, and update testcase status or scope decision.</t>
  </si>
  <si>
    <t>BUG-013</t>
  </si>
  <si>
    <t>DL2166</t>
  </si>
  <si>
    <t>L2-014</t>
  </si>
  <si>
    <t>Assigned role deletion</t>
  </si>
  <si>
    <t>Admin</t>
  </si>
  <si>
    <t>1. Sign in as Admin. 2. Try to delete a role assigned to a user. 3. Save or submit. 4. Refresh or reopen the record. 5. Compare the result with the pass condition.</t>
  </si>
  <si>
    <t>Deletion is blocked.</t>
  </si>
  <si>
    <t>The Lab Manager role was deleted even though it was already assigned to another user. After deletion, the system automatically assigned the first available role to the affected user. The user can then access the system based on the permissions of the newly assigned role.</t>
  </si>
  <si>
    <t>Fix RBAC &amp; Settings workflow for "Assigned role deletion" so actual behavior matches expected result: Deletion is blocked.</t>
  </si>
  <si>
    <t>BUG-014</t>
  </si>
  <si>
    <t>DL2017</t>
  </si>
  <si>
    <t>L2-017</t>
  </si>
  <si>
    <t>Disabled module API</t>
  </si>
  <si>
    <t>Kavin</t>
  </si>
  <si>
    <t>1. Sign in as Admin. 2. Call the disabled module API directly. 3. Save or submit. 4. Refresh or reopen the record. 5. Compare the result with the pass condition.</t>
  </si>
  <si>
    <t>The server denies the action.</t>
  </si>
  <si>
    <t>BUG-015</t>
  </si>
  <si>
    <t>DL2018</t>
  </si>
  <si>
    <t>L2-018</t>
  </si>
  <si>
    <t>Technician collection denial</t>
  </si>
  <si>
    <t>1. Sign in as Admin. 2. Use Lab Technician to collect a sample. 3. Save or submit. 4. Refresh or reopen the record. 5. Compare the result with the pass condition.</t>
  </si>
  <si>
    <t>The default role is denied.</t>
  </si>
  <si>
    <t>The system should display a confirmation message when the Collect Sample permission is assigned to the Lab Technician role.</t>
  </si>
  <si>
    <t>Fix RBAC &amp; Settings workflow for "Technician collection denial" so actual behavior matches expected result: The default role is denied.</t>
  </si>
  <si>
    <t>BUG-016</t>
  </si>
  <si>
    <t>DL2019</t>
  </si>
  <si>
    <t>L2-019</t>
  </si>
  <si>
    <t>Technician release denial</t>
  </si>
  <si>
    <t>1. Sign in as Admin. 2. Use Lab Technician to release a report. 3. Save or submit. 4. Refresh or reopen the record. 5. Compare the result with the pass condition.</t>
  </si>
  <si>
    <t>The system should display a confirmation message when the release a report permission is assigned to the Lab Technician role.</t>
  </si>
  <si>
    <t>Fix RBAC &amp; Settings workflow for "Technician release denial" so actual behavior matches expected result: The default role is denied.</t>
  </si>
  <si>
    <t>BUG-017</t>
  </si>
  <si>
    <t>DL2021</t>
  </si>
  <si>
    <t>L2-021</t>
  </si>
  <si>
    <t>Role change audit</t>
  </si>
  <si>
    <t>User : Abinesh
Role : Account Manager
Access Removed: Test, Inventory , Users</t>
  </si>
  <si>
    <t>1. Sign in as Admin. 2. Create and update a role. 3. Save or submit. 4. Refresh or reopen the record. 5. Compare the result with the pass condition.</t>
  </si>
  <si>
    <t>Actor, old/new permissions and time are auditable.</t>
  </si>
  <si>
    <t>Some permissions were removed from the Account Manager role, but the permission changes were not recorded in the Audit Log. The transaction details are missing from the audit records.</t>
  </si>
  <si>
    <t>Fix RBAC &amp; Settings workflow for "Role change audit" so actual behavior matches expected result: Actor, old/new permissions and time are auditable.</t>
  </si>
  <si>
    <t>BUG-018</t>
  </si>
  <si>
    <t>L2-022</t>
  </si>
  <si>
    <t>Inactive role</t>
  </si>
  <si>
    <t>1. Sign in as Admin. 2. Deactivate a role and try to use it. 3. Save or submit. 4. Refresh or reopen the record. 5. Compare the result with the pass condition.</t>
  </si>
  <si>
    <t>The role cannot grant access.</t>
  </si>
  <si>
    <t>The Active/Deactivate option is not available in the Role Assignment module, so the role assignment cannot be deactivated.</t>
  </si>
  <si>
    <t>Fix RBAC &amp; Settings workflow for "Inactive role" so actual behavior matches expected result: The role cannot grant access.</t>
  </si>
  <si>
    <t>The Active/Deactivate option is missing from the Role Assignment module. As a result, the Admin cannot deactivate a user's role assignment as required by the test scenario.</t>
  </si>
  <si>
    <t>BUG-019</t>
  </si>
  <si>
    <t>DL2029</t>
  </si>
  <si>
    <t>L2-029</t>
  </si>
  <si>
    <t>Patients &amp; Visits</t>
  </si>
  <si>
    <t>Edit patient</t>
  </si>
  <si>
    <t>Front Desk Receptionist</t>
  </si>
  <si>
    <t>1. Sign in as Front Desk Receptionist. 2. Change allowed demographics and refresh. 3. Save or submit. 4. Refresh or reopen the record. 5. Compare the result with the pass condition.</t>
  </si>
  <si>
    <t>Changes persist and linked records remain intact.</t>
  </si>
  <si>
    <t>The patient information details have been changed, but cant working update profile option.</t>
  </si>
  <si>
    <t>Failed result requires rework: The patient information details have been changed, but cant working update profile option.</t>
  </si>
  <si>
    <t>Fix Patients &amp; Visits workflow for "Edit patient" so actual behavior matches expected result: Changes persist and linked records remain intact.</t>
  </si>
  <si>
    <t>BUG-020</t>
  </si>
  <si>
    <t>DL2032</t>
  </si>
  <si>
    <t>L2-032</t>
  </si>
  <si>
    <t>Soft delete and restore</t>
  </si>
  <si>
    <t>1. Sign in as Front Desk Receptionist. 2. Delete and restore a patient. 3. Save or submit. 4. Refresh or reopen the record. 5. Compare the result with the pass condition.</t>
  </si>
  <si>
    <t>History and links are preserved.</t>
  </si>
  <si>
    <t>There are no patient restore options.</t>
  </si>
  <si>
    <t>Failed result requires rework: There are no patient restore options.</t>
  </si>
  <si>
    <t>Fix Patients &amp; Visits workflow for "Soft delete and restore" so actual behavior matches expected result: History and links are preserved.</t>
  </si>
  <si>
    <t>BUG-021</t>
  </si>
  <si>
    <t>DL2033</t>
  </si>
  <si>
    <t>L2-033</t>
  </si>
  <si>
    <t>Patient edit audit</t>
  </si>
  <si>
    <t>1. Sign in as Front Desk Receptionist. 2. Change identity-sensitive fields. 3. Save or submit. 4. Refresh or reopen the record. 5. Compare the result with the pass condition.</t>
  </si>
  <si>
    <t>Old/new values, actor and time are auditable.</t>
  </si>
  <si>
    <t>Fix Patients &amp; Visits workflow for "Patient edit audit" so actual behavior matches expected result: Old/new values, actor and time are auditable.</t>
  </si>
  <si>
    <t>BUG-022</t>
  </si>
  <si>
    <t>DL2036</t>
  </si>
  <si>
    <t>L2-036</t>
  </si>
  <si>
    <t>Doctors &amp; Commission</t>
  </si>
  <si>
    <t>Duplicate email</t>
  </si>
  <si>
    <t>1. Sign in as Admin. 2. Create two doctors with the same email. 3. Save or submit. 4. Refresh or reopen the record. 5. Compare the result with the pass condition.</t>
  </si>
  <si>
    <t>Duplicate doctor/portal identity is blocked.</t>
  </si>
  <si>
    <t>The system allows two doctors to be created with the same email address. No duplicate email validation message is displayed, and the second doctor record is saved successfully.</t>
  </si>
  <si>
    <t>Fix Doctors &amp; Commission workflow for "Duplicate email" so actual behavior matches expected result: Duplicate doctor/portal identity is blocked.</t>
  </si>
  <si>
    <t>BUG-023</t>
  </si>
  <si>
    <t>DL2039</t>
  </si>
  <si>
    <t>L2-039</t>
  </si>
  <si>
    <t>Resend invitation</t>
  </si>
  <si>
    <t>1. Sign in as Admin. 2. Resend and try old and new OTPs. 3. Save or submit. 4. Refresh or reopen the record. 5. Compare the result with the pass condition.</t>
  </si>
  <si>
    <t>Only the latest OTP works.</t>
  </si>
  <si>
    <t>After the doctor successfully submits the OTP and logs in, resending the invitation OTP displays the message “This portal already has an active account.”</t>
  </si>
  <si>
    <t>Portal/authentication workflow issue: login, activation, access, or visibility needs correction.</t>
  </si>
  <si>
    <t>Fix Doctors &amp; Commission workflow for "Resend invitation" so actual behavior matches expected result: Only the latest OTP works.</t>
  </si>
  <si>
    <t>BUG-024</t>
  </si>
  <si>
    <t>DL2040</t>
  </si>
  <si>
    <t>L2-040</t>
  </si>
  <si>
    <t>Inactive doctor billing</t>
  </si>
  <si>
    <t>1. Sign in as Admin. 2. Select an inactive referral doctor. 3. Save or submit. 4. Refresh or reopen the record. 5. Compare the result with the pass condition.</t>
  </si>
  <si>
    <t>New billing is blocked.</t>
  </si>
  <si>
    <t>When registering a patient, the inactive doctor does not appear in the Referral Code (LOV).
When an existing patient is updated from “Doctor Referral = No” to “Yes”, the selected referral doctor is not updated in the patient record.</t>
  </si>
  <si>
    <t>Fix Doctors &amp; Commission workflow for "Inactive doctor billing" so actual behavior matches expected result: New billing is blocked.</t>
  </si>
  <si>
    <t>This scenario has already been tested by Stephen under test case DL-20029, and the appropriate screenshot has been added to the document as evidence.</t>
  </si>
  <si>
    <t>BUG-025</t>
  </si>
  <si>
    <t>DL2043</t>
  </si>
  <si>
    <t>L2-043</t>
  </si>
  <si>
    <t>Commission eligibility</t>
  </si>
  <si>
    <t>1. Sign in as Admin. 2. Compare unpaid, partial and paid referrals. 3. Save or submit. 4. Refresh or reopen the record. 5. Compare the result with the pass condition.</t>
  </si>
  <si>
    <t>Estimated and earned commission follow policy.</t>
  </si>
  <si>
    <t>BUG-026</t>
  </si>
  <si>
    <t>DL2044</t>
  </si>
  <si>
    <t>L2-044</t>
  </si>
  <si>
    <t>Payout approval</t>
  </si>
  <si>
    <t>1. Sign in as Admin. 2. Create and release a payout. 3. Save or submit. 4. Refresh or reopen the record. 5. Compare the result with the pass condition.</t>
  </si>
  <si>
    <t>Only authorized staff can approve and the action is auditable.</t>
  </si>
  <si>
    <t>The payout was released successfully, but there was no approval by an authorized user, and the payout transaction was not recorded in the Audit Log.</t>
  </si>
  <si>
    <t>Failed result requires rework: The payout was released successfully, but there was no approval by an authorized user, and the payout transaction was not recorded in the Audit Log.</t>
  </si>
  <si>
    <t>Fix Doctors &amp; Commission workflow for "Payout approval" so actual behavior matches expected result: Only authorized staff can approve and the action is auditable.</t>
  </si>
  <si>
    <t>BUG-027</t>
  </si>
  <si>
    <t>DL2046</t>
  </si>
  <si>
    <t>L2-046</t>
  </si>
  <si>
    <t>Doctor delete protection</t>
  </si>
  <si>
    <t>1. Sign in as Admin. 2. Try to delete a doctor with referrals. 3. Save or submit. 4. Refresh or reopen the record. 5. Compare the result with the pass condition.</t>
  </si>
  <si>
    <t>Deletion is blocked or safely archived.</t>
  </si>
  <si>
    <t>The system allows the doctor to be deleted even though the doctor has existing referral records.The deletion action is also not recorded in the Audit Log.</t>
  </si>
  <si>
    <t>Failed result requires rework: The system allows the doctor to be deleted even though the doctor has existing referral records.The deletion action is also not recorded in the Audit Log.</t>
  </si>
  <si>
    <t>Fix Doctors &amp; Commission workflow for "Doctor delete protection" so actual behavior matches expected result: Deletion is blocked or safely archived.</t>
  </si>
  <si>
    <t>BUG-028</t>
  </si>
  <si>
    <t>DL2052</t>
  </si>
  <si>
    <t>L2-052</t>
  </si>
  <si>
    <t>Test Master</t>
  </si>
  <si>
    <t>Package invalid member</t>
  </si>
  <si>
    <t>1. Sign in as Lab Manager. 2. Add inactive/duplicate tests to a package. 3. Save or submit. 4. Refresh or reopen the record. 5. Compare the result with the pass condition.</t>
  </si>
  <si>
    <t>Invalid package setup is blocked.</t>
  </si>
  <si>
    <t>Able to add an inactive test to the package</t>
  </si>
  <si>
    <t>Failed result requires rework: Able to add an inactive test to the package</t>
  </si>
  <si>
    <t>Fix Test Master workflow for "Package invalid member" so actual behavior matches expected result: Invalid package setup is blocked.</t>
  </si>
  <si>
    <t>BUG-029</t>
  </si>
  <si>
    <t>DL2054</t>
  </si>
  <si>
    <t>L2-054</t>
  </si>
  <si>
    <t>Deactivate test</t>
  </si>
  <si>
    <t>1. Sign in as Lab Manager. 2. Deactivate a test after old bills exist. 3. Save or submit. 4. Refresh or reopen the record. 5. Compare the result with the pass condition.</t>
  </si>
  <si>
    <t>Old snapshots remain; new billing cannot select it.</t>
  </si>
  <si>
    <t>It is coming in the New billing even it is inactive</t>
  </si>
  <si>
    <t>Fix Test Master workflow for "Deactivate test" so actual behavior matches expected result: Old snapshots remain; new billing cannot select it.</t>
  </si>
  <si>
    <t>BUG-030</t>
  </si>
  <si>
    <t>DL2056</t>
  </si>
  <si>
    <t>L2-056</t>
  </si>
  <si>
    <t>Age-specific ranges</t>
  </si>
  <si>
    <t>1. Sign in as Lab Manager. 2. Configure/test age-dependent references. 3. Save or submit. 4. Refresh or reopen the record. 5. Compare the result with the pass condition.</t>
  </si>
  <si>
    <t>Results use the correct range or the gap is recorded.</t>
  </si>
  <si>
    <t>There is no test age</t>
  </si>
  <si>
    <t>Failed result requires rework: There is no test age</t>
  </si>
  <si>
    <t>Fix Test Master workflow for "Age-specific ranges" so actual behavior matches expected result: Results use the correct range or the gap is recorded.</t>
  </si>
  <si>
    <t>BUG-031</t>
  </si>
  <si>
    <t>DL2062</t>
  </si>
  <si>
    <t>L2-062</t>
  </si>
  <si>
    <t>Billing &amp; Payments</t>
  </si>
  <si>
    <t>Discount limit</t>
  </si>
  <si>
    <t>1. Sign in as Billing Cashier. 2. Apply an excessive or unauthorized discount. 3. Save or submit. 4. Refresh or reopen the record. 5. Compare the result with the pass condition.</t>
  </si>
  <si>
    <t>Action is blocked and audited.</t>
  </si>
  <si>
    <t>The discount amount is not restricted.</t>
  </si>
  <si>
    <t>Fix Billing &amp; Payments workflow for "Discount limit" so actual behavior matches expected result: Action is blocked and audited.</t>
  </si>
  <si>
    <t>BUG-032</t>
  </si>
  <si>
    <t>DL2067</t>
  </si>
  <si>
    <t>L2-067</t>
  </si>
  <si>
    <t>Multiple modes</t>
  </si>
  <si>
    <t>1. Sign in as Billing Cashier. 2. Pay using cash, card, UPI, cheque and corporate credit. 3. Save or submit. 4. Refresh or reopen the record. 5. Compare the result with the pass condition.</t>
  </si>
  <si>
    <t>Mode breakdown and history are correct.</t>
  </si>
  <si>
    <t>Payment details can't work.</t>
  </si>
  <si>
    <t>Fix Billing &amp; Payments workflow for "Multiple modes" so actual behavior matches expected result: Mode breakdown and history are correct.</t>
  </si>
  <si>
    <t>BUG-033</t>
  </si>
  <si>
    <t>DL2070</t>
  </si>
  <si>
    <t>L2-070</t>
  </si>
  <si>
    <t>Cancellation reason</t>
  </si>
  <si>
    <t>1. Sign in as Billing Cashier. 2. Cancel a bill without and with a reason. 3. Save or submit. 4. Refresh or reopen the record. 5. Compare the result with the pass condition.</t>
  </si>
  <si>
    <t>Reason is required and downstream behavior follows policy.</t>
  </si>
  <si>
    <t>The cancel reason field can't be shown.</t>
  </si>
  <si>
    <t>Fix Billing &amp; Payments workflow for "Cancellation reason" so actual behavior matches expected result: Reason is required and downstream behavior follows policy.</t>
  </si>
  <si>
    <t>BUG-034</t>
  </si>
  <si>
    <t>DL2071</t>
  </si>
  <si>
    <t>L2-071</t>
  </si>
  <si>
    <t>Refund</t>
  </si>
  <si>
    <t>1. Sign in as Billing Cashier. 2. Refund a paid/cancelled bill. 3. Save or submit. 4. Refresh or reopen the record. 5. Compare the result with the pass condition.</t>
  </si>
  <si>
    <t>Authorized refund reverses amounts and records history.</t>
  </si>
  <si>
    <t>The revert reason has options. But the revert reason is important. So please ensure the revert reason is required.</t>
  </si>
  <si>
    <t>Fix Billing &amp; Payments workflow for "Refund" so actual behavior matches expected result: Authorized refund reverses amounts and records history.</t>
  </si>
  <si>
    <t>BUG-035</t>
  </si>
  <si>
    <t>DL2073</t>
  </si>
  <si>
    <t>L2-073</t>
  </si>
  <si>
    <t>Corporate credit</t>
  </si>
  <si>
    <t>1. Sign in as Billing Cashier. 2. Bill an active corporate account. 3. Save or submit. 4. Refresh or reopen the record. 5. Compare the result with the pass condition.</t>
  </si>
  <si>
    <t>Receivable and statement are correct.</t>
  </si>
  <si>
    <t>Unable to settle bill using corporate credit.</t>
  </si>
  <si>
    <t>Fix Billing &amp; Payments workflow for "Corporate credit" so actual behavior matches expected result: Receivable and statement are correct.</t>
  </si>
  <si>
    <t>BUG-036</t>
  </si>
  <si>
    <t>DL2074</t>
  </si>
  <si>
    <t>L2-074</t>
  </si>
  <si>
    <t>Credit limit</t>
  </si>
  <si>
    <t>1. Sign in as Billing Cashier. 2. Exceed corporate credit limit. 3. Save or submit. 4. Refresh or reopen the record. 5. Compare the result with the pass condition.</t>
  </si>
  <si>
    <t>Warning/block follows policy.</t>
  </si>
  <si>
    <t>Fix Billing &amp; Payments workflow for "Credit limit" so actual behavior matches expected result: Warning/block follows policy.</t>
  </si>
  <si>
    <t>BUG-037</t>
  </si>
  <si>
    <t>DL2077</t>
  </si>
  <si>
    <t>L2-077</t>
  </si>
  <si>
    <t>Automatic sample creation</t>
  </si>
  <si>
    <t>1. Sign in as Phlebotomist. 2. Create a multi-test bill. 3. Save or submit. 4. Refresh or reopen the record. 5. Compare the result with the pass condition.</t>
  </si>
  <si>
    <t>Correct samples/investigations are linked.</t>
  </si>
  <si>
    <t>Fix Samples workflow for "Automatic sample creation" so actual behavior matches expected result: Correct samples/investigations are linked.</t>
  </si>
  <si>
    <t>BUG-038</t>
  </si>
  <si>
    <t>DL2078</t>
  </si>
  <si>
    <t>L2-078</t>
  </si>
  <si>
    <t>Unique sample ID</t>
  </si>
  <si>
    <t>1. Sign in as Phlebotomist. 2. Create many samples concurrently. 3. Save or submit. 4. Refresh or reopen the record. 5. Compare the result with the pass condition.</t>
  </si>
  <si>
    <t>Every sample ID and barcode is unique.</t>
  </si>
  <si>
    <t>Fix Samples workflow for "Unique sample ID" so actual behavior matches expected result: Every sample ID and barcode is unique.</t>
  </si>
  <si>
    <t>BUG-039</t>
  </si>
  <si>
    <t>DL2079</t>
  </si>
  <si>
    <t>L2-079</t>
  </si>
  <si>
    <t>Collection time validation</t>
  </si>
  <si>
    <t>1. Sign in as Phlebotomist. 2. Enter future or pre-DOB collection time. 3. Save or submit. 4. Refresh or reopen the record. 5. Compare the result with the pass condition.</t>
  </si>
  <si>
    <t>Invalid time is blocked.</t>
  </si>
  <si>
    <t>Fix Samples workflow for "Collection time validation" so actual behavior matches expected result: Invalid time is blocked.</t>
  </si>
  <si>
    <t>BUG-040</t>
  </si>
  <si>
    <t>DL2080</t>
  </si>
  <si>
    <t>L2-080</t>
  </si>
  <si>
    <t>Received time order</t>
  </si>
  <si>
    <t>1. Sign in as Phlebotomist. 2. Enter received time before collection. 3. Save or submit. 4. Refresh or reopen the record. 5. Compare the result with the pass condition.</t>
  </si>
  <si>
    <t>Invalid order is blocked.</t>
  </si>
  <si>
    <t>Fix Samples workflow for "Received time order" so actual behavior matches expected result: Invalid order is blocked.</t>
  </si>
  <si>
    <t>BUG-041</t>
  </si>
  <si>
    <t>DL2081</t>
  </si>
  <si>
    <t>L2-081</t>
  </si>
  <si>
    <t>Valid status sequence</t>
  </si>
  <si>
    <t>1. Sign in as Phlebotomist. 2. Move Registered to Collected to Processing to Completed. 3. Save or submit. 4. Refresh or reopen the record. 5. Compare the result with the pass condition.</t>
  </si>
  <si>
    <t>Each transition persists with custody history.</t>
  </si>
  <si>
    <t>Fix Samples workflow for "Valid status sequence" so actual behavior matches expected result: Each transition persists with custody history.</t>
  </si>
  <si>
    <t>BUG-042</t>
  </si>
  <si>
    <t>DL2082</t>
  </si>
  <si>
    <t>L2-082</t>
  </si>
  <si>
    <t>Invalid status jump</t>
  </si>
  <si>
    <t>1. Sign in as Phlebotomist. 2. Jump Registered directly to Completed/Released. 3. Save or submit. 4. Refresh or reopen the record. 5. Compare the result with the pass condition.</t>
  </si>
  <si>
    <t>Transition is blocked.</t>
  </si>
  <si>
    <t>Fix Samples workflow for "Invalid status jump" so actual behavior matches expected result: Transition is blocked.</t>
  </si>
  <si>
    <t>BUG-043</t>
  </si>
  <si>
    <t>DL2083</t>
  </si>
  <si>
    <t>L2-083</t>
  </si>
  <si>
    <t>Reject without reason</t>
  </si>
  <si>
    <t>1. Sign in as Phlebotomist. 2. Reject an active sample without a reason. 3. Save or submit. 4. Refresh or reopen the record. 5. Compare the result with the pass condition.</t>
  </si>
  <si>
    <t>Save is blocked.</t>
  </si>
  <si>
    <t>Fix Samples workflow for "Reject without reason" so actual behavior matches expected result: Save is blocked.</t>
  </si>
  <si>
    <t>BUG-044</t>
  </si>
  <si>
    <t>DL2084</t>
  </si>
  <si>
    <t>L2-084</t>
  </si>
  <si>
    <t>Reject with reason</t>
  </si>
  <si>
    <t>1. Sign in as Phlebotomist. 2. Reject from each allowed active state. 3. Save or submit. 4. Refresh or reopen the record. 5. Compare the result with the pass condition.</t>
  </si>
  <si>
    <t>Reason and custody event are retained.</t>
  </si>
  <si>
    <t>Fix Samples workflow for "Reject with reason" so actual behavior matches expected result: Reason and custody event are retained.</t>
  </si>
  <si>
    <t>BUG-045</t>
  </si>
  <si>
    <t>DL2085</t>
  </si>
  <si>
    <t>L2-085</t>
  </si>
  <si>
    <t>Recollection</t>
  </si>
  <si>
    <t>1. Sign in as Phlebotomist. 2. Create a replacement after rejection. 3. Save or submit. 4. Refresh or reopen the record. 5. Compare the result with the pass condition.</t>
  </si>
  <si>
    <t>Old rejected sample remains traceable and the new sample links correctly.</t>
  </si>
  <si>
    <t>Fix Samples workflow for "Recollection" so actual behavior matches expected result: Old rejected sample remains traceable and the new sample links correctly.</t>
  </si>
  <si>
    <t>BUG-046</t>
  </si>
  <si>
    <t>DL2086</t>
  </si>
  <si>
    <t>L2-086</t>
  </si>
  <si>
    <t>Barcode print and scan</t>
  </si>
  <si>
    <t>1. Sign in as Phlebotomist. 2. Print and scan the label in collection and processing. 3. Save or submit. 4. Refresh or reopen the record. 5. Compare the result with the pass condition.</t>
  </si>
  <si>
    <t>Scan resolves the correct sample with readable label.</t>
  </si>
  <si>
    <t>Fix Samples workflow for "Barcode print and scan" so actual behavior matches expected result: Scan resolves the correct sample with readable label.</t>
  </si>
  <si>
    <t>BUG-047</t>
  </si>
  <si>
    <t>DL2087</t>
  </si>
  <si>
    <t>L2-087</t>
  </si>
  <si>
    <t>Patient/sample mismatch</t>
  </si>
  <si>
    <t>1. Sign in as Phlebotomist. 2. Use another patient's barcode. 3. Save or submit. 4. Refresh or reopen the record. 5. Compare the result with the pass condition.</t>
  </si>
  <si>
    <t>Processing is blocked.</t>
  </si>
  <si>
    <t>Fix Samples workflow for "Patient/sample mismatch" so actual behavior matches expected result: Processing is blocked.</t>
  </si>
  <si>
    <t>BUG-048</t>
  </si>
  <si>
    <t>DL2088</t>
  </si>
  <si>
    <t>L2-088</t>
  </si>
  <si>
    <t>Batch/custody</t>
  </si>
  <si>
    <t>1. Sign in as Phlebotomist. 2. Transfer a sample between users/locations. 3. Save or submit. 4. Refresh or reopen the record. 5. Compare the result with the pass condition.</t>
  </si>
  <si>
    <t>Complete chain of custody is visible.</t>
  </si>
  <si>
    <t>Fix Samples workflow for "Batch/custody" so actual behavior matches expected result: Complete chain of custody is visible.</t>
  </si>
  <si>
    <t>BUG-049</t>
  </si>
  <si>
    <t>DL2089</t>
  </si>
  <si>
    <t>L2-089</t>
  </si>
  <si>
    <t>Archive and restore</t>
  </si>
  <si>
    <t>1. Sign in as Phlebotomist. 2. Archive and restore a completed sample. 3. Save or submit. 4. Refresh or reopen the record. 5. Compare the result with the pass condition.</t>
  </si>
  <si>
    <t>Policy is enforced without losing history.</t>
  </si>
  <si>
    <t>Fix Samples workflow for "Archive and restore" so actual behavior matches expected result: Policy is enforced without losing history.</t>
  </si>
  <si>
    <t>BUG-050</t>
  </si>
  <si>
    <t>DL2090</t>
  </si>
  <si>
    <t>L2-090</t>
  </si>
  <si>
    <t>Rejection approval</t>
  </si>
  <si>
    <t>1. Sign in as Phlebotomist. 2. Reject a high-impact sample and request approval. 3. Save or submit. 4. Refresh or reopen the record. 5. Compare the result with the pass condition.</t>
  </si>
  <si>
    <t>Approval follows policy or is recorded as a gap.</t>
  </si>
  <si>
    <t>Fix Samples workflow for "Rejection approval" so actual behavior matches expected result: Approval follows policy or is recorded as a gap.</t>
  </si>
  <si>
    <t>BUG-051</t>
  </si>
  <si>
    <t>DL2091</t>
  </si>
  <si>
    <t>L2-091</t>
  </si>
  <si>
    <t>Status vocabulary integration</t>
  </si>
  <si>
    <t>1. Sign in as Phlebotomist. 2. Create a report from Processing and Completed samples. 3. Save or submit. 4. Refresh or reopen the record. 5. Compare the result with the pass condition.</t>
  </si>
  <si>
    <t>Report creation accepts the model's real statuses.</t>
  </si>
  <si>
    <t>Fix Samples workflow for "Status vocabulary integration" so actual behavior matches expected result: Report creation accepts the model's real statuses.</t>
  </si>
  <si>
    <t>BUG-052</t>
  </si>
  <si>
    <t>DL2092</t>
  </si>
  <si>
    <t>L2-092</t>
  </si>
  <si>
    <t>Sample audit</t>
  </si>
  <si>
    <t>1. Sign in as Phlebotomist. 2. Collect, reject and complete samples. 3. Save or submit. 4. Refresh or reopen the record. 5. Compare the result with the pass condition.</t>
  </si>
  <si>
    <t>All sensitive sample changes are auditable.</t>
  </si>
  <si>
    <t>Fix Samples workflow for "Sample audit" so actual behavior matches expected result: All sensitive sample changes are auditable.</t>
  </si>
  <si>
    <t>BUG-053</t>
  </si>
  <si>
    <t>DL2093</t>
  </si>
  <si>
    <t>L2-093</t>
  </si>
  <si>
    <t>Reports</t>
  </si>
  <si>
    <t>Required result</t>
  </si>
  <si>
    <t>Pathologist</t>
  </si>
  <si>
    <t>1. Sign in as Pathologist. 2. Leave a required result empty. 3. Save or submit. 4. Refresh or reopen the record. 5. Compare the result with the pass condition.</t>
  </si>
  <si>
    <t>Review is blocked.</t>
  </si>
  <si>
    <t>This is in the sample module, not the report module</t>
  </si>
  <si>
    <t>Fix Reports workflow for "Required result" so actual behavior matches expected result: Review is blocked.</t>
  </si>
  <si>
    <t>BUG-054</t>
  </si>
  <si>
    <t>DL2094</t>
  </si>
  <si>
    <t>L2-094</t>
  </si>
  <si>
    <t>Invalid numeric result</t>
  </si>
  <si>
    <t>1. Sign in as Pathologist. 2. Enter text or exponential notation in a numeric field. 3. Save or submit. 4. Refresh or reopen the record. 5. Compare the result with the pass condition.</t>
  </si>
  <si>
    <t>Invalid input is blocked.</t>
  </si>
  <si>
    <t>This is in the sample module, not the report module. 
Even in the sample module, invalid input is not blocked when entering it; it takes normal input.</t>
  </si>
  <si>
    <t>Fix Reports workflow for "Invalid numeric result" so actual behavior matches expected result: Invalid input is blocked.</t>
  </si>
  <si>
    <t>BUG-055</t>
  </si>
  <si>
    <t>DL2096</t>
  </si>
  <si>
    <t>L2-096</t>
  </si>
  <si>
    <t>Draft edit</t>
  </si>
  <si>
    <t>1. Sign in as Pathologist. 2. Edit a Draft report. 3. Save or submit. 4. Refresh or reopen the record. 5. Compare the result with the pass condition.</t>
  </si>
  <si>
    <t>Changes save and version behavior is correct.</t>
  </si>
  <si>
    <t>Cannot edit the draft report. Only the draft report can be deleted</t>
  </si>
  <si>
    <t>Fix Reports workflow for "Draft edit" so actual behavior matches expected result: Changes save and version behavior is correct.</t>
  </si>
  <si>
    <t>BUG-056</t>
  </si>
  <si>
    <t>DL2097</t>
  </si>
  <si>
    <t>L2-097</t>
  </si>
  <si>
    <t>Reviewed edit</t>
  </si>
  <si>
    <t>1. Sign in as Pathologist. 2. Try to edit a Reviewed report as a typist. 3. Save or submit. 4. Refresh or reopen the record. 5. Compare the result with the pass condition.</t>
  </si>
  <si>
    <t>Unauthorized/status-invalid edit is blocked.</t>
  </si>
  <si>
    <t>A pathologist cannot release a report as a typist</t>
  </si>
  <si>
    <t>Fix Reports workflow for "Reviewed edit" so actual behavior matches expected result: Unauthorized/status-invalid edit is blocked.</t>
  </si>
  <si>
    <t>BUG-057</t>
  </si>
  <si>
    <t>DL2100</t>
  </si>
  <si>
    <t>L2-100</t>
  </si>
  <si>
    <t>Wrong role release</t>
  </si>
  <si>
    <t>1. Sign in as Pathologist. 2. Release as Technician or Front Desk without permission. 3. Save or submit. 4. Refresh or reopen the record. 5. Compare the result with the pass condition.</t>
  </si>
  <si>
    <t>Server and UI deny release.</t>
  </si>
  <si>
    <t>A pathologist cannot release a report as a technician or front desk</t>
  </si>
  <si>
    <t>Fix Reports workflow for "Wrong role release" so actual behavior matches expected result: Server and UI deny release.</t>
  </si>
  <si>
    <t>BUG-058</t>
  </si>
  <si>
    <t>DL2106</t>
  </si>
  <si>
    <t>L2-106</t>
  </si>
  <si>
    <t>Post-release correction</t>
  </si>
  <si>
    <t>1. Sign in as Pathologist. 2. Correct a Released report with a reason and approval. 3. Save or submit. 4. Refresh or reopen the record. 5. Compare the result with the pass condition.</t>
  </si>
  <si>
    <t>Original remains; amendment is approved and portals show correct version.</t>
  </si>
  <si>
    <t>Once released, the report cannot be amended</t>
  </si>
  <si>
    <t>Fix Reports workflow for "Post-release correction" so actual behavior matches expected result: Original remains; amendment is approved and portals show correct version.</t>
  </si>
  <si>
    <t>BUG-059</t>
  </si>
  <si>
    <t>DL2108</t>
  </si>
  <si>
    <t>L2-108</t>
  </si>
  <si>
    <t>Release audit</t>
  </si>
  <si>
    <t>1. Sign in as Pathologist. 2. Review, approve, release and amend. 3. Save or submit. 4. Refresh or reopen the record. 5. Compare the result with the pass condition.</t>
  </si>
  <si>
    <t>Actor, time, status and version are auditable.</t>
  </si>
  <si>
    <t>Fix Reports workflow for "Release audit" so actual behavior matches expected result: Actor, time, status and version are auditable.</t>
  </si>
  <si>
    <t>BUG-060</t>
  </si>
  <si>
    <t>DL2112</t>
  </si>
  <si>
    <t>L2-112</t>
  </si>
  <si>
    <t>Batch receipt</t>
  </si>
  <si>
    <t>1. Sign in as Inventory Manager. 2. Receive two batches with different expiry dates. 3. Save or submit. 4. Refresh or reopen the record. 5. Compare the result with the pass condition.</t>
  </si>
  <si>
    <t>Both batches and totals are correct.</t>
  </si>
  <si>
    <t>If I tried to create a new batch with the same item code, it generated an error like same item code. But here, only the batch will change. No item code will have to change.</t>
  </si>
  <si>
    <t>Fix Inventory workflow for "Batch receipt" so actual behavior matches expected result: Both batches and totals are correct.</t>
  </si>
  <si>
    <t>BUG-061</t>
  </si>
  <si>
    <t>DL2114</t>
  </si>
  <si>
    <t>L2-114</t>
  </si>
  <si>
    <t>Negative stock</t>
  </si>
  <si>
    <t>1. Sign in as Inventory Manager. 2. Issue more than available. 3. Save or submit. 4. Refresh or reopen the record. 5. Compare the result with the pass condition.</t>
  </si>
  <si>
    <t>Negative stock is blocked or controlled by approved override.</t>
  </si>
  <si>
    <t>I tried to purchase more stock than the provided limit. It actually accepted. But this is one that must not be extended</t>
  </si>
  <si>
    <t>Fix Inventory workflow for "Negative stock" so actual behavior matches expected result: Negative stock is blocked or controlled by approved override.</t>
  </si>
  <si>
    <t>BUG-062</t>
  </si>
  <si>
    <t>DL2115</t>
  </si>
  <si>
    <t>L2-115</t>
  </si>
  <si>
    <t>Low stock</t>
  </si>
  <si>
    <t>1. Sign in as Inventory Manager. 2. Move stock below reorder level. 3. Save or submit. 4. Refresh or reopen the record. 5. Compare the result with the pass condition.</t>
  </si>
  <si>
    <t>Low-stock warning/notification appears.</t>
  </si>
  <si>
    <t>Here, reorder the stock level, but unable to edit items, error popup</t>
  </si>
  <si>
    <t>Fix Inventory workflow for "Low stock" so actual behavior matches expected result: Low-stock warning/notification appears.</t>
  </si>
  <si>
    <t>BUG-063</t>
  </si>
  <si>
    <t>DL2116</t>
  </si>
  <si>
    <t>L2-116</t>
  </si>
  <si>
    <t>Expired stock</t>
  </si>
  <si>
    <t>1. Sign in as Inventory Manager. 2. Try to reserve/use an expired batch. 3. Save or submit. 4. Refresh or reopen the record. 5. Compare the result with the pass condition.</t>
  </si>
  <si>
    <t>Expired stock is blocked.</t>
  </si>
  <si>
    <t>Unable to set the expired date as current and for previous dates. This has to be changed</t>
  </si>
  <si>
    <t>Fix Inventory workflow for "Expired stock" so actual behavior matches expected result: Expired stock is blocked.</t>
  </si>
  <si>
    <t>BUG-064</t>
  </si>
  <si>
    <t>DL2118</t>
  </si>
  <si>
    <t>L2-118</t>
  </si>
  <si>
    <t>Automatic consumption</t>
  </si>
  <si>
    <t>1. Sign in as Inventory Manager. 2. Complete a test linked to inventory. 3. Save or submit. 4. Refresh or reopen the record. 5. Compare the result with the pass condition.</t>
  </si>
  <si>
    <t>Configured quantity is consumed once or the gap blocks release.</t>
  </si>
  <si>
    <t>Not available for this Inventory Manager</t>
  </si>
  <si>
    <t>N/A scope decision required: Not available for this Inventory Manager</t>
  </si>
  <si>
    <t>BUG-065</t>
  </si>
  <si>
    <t>DL2119</t>
  </si>
  <si>
    <t>L2-119</t>
  </si>
  <si>
    <t>Insufficient stock</t>
  </si>
  <si>
    <t>1. Sign in as Inventory Manager. 2. Start a test with insufficient required stock. 3. Save or submit. 4. Refresh or reopen the record. 5. Compare the result with the pass condition.</t>
  </si>
  <si>
    <t>Warning/block follows the approved policy.</t>
  </si>
  <si>
    <t>Not available for Inventory Manager</t>
  </si>
  <si>
    <t>N/A scope decision required: Not available for Inventory Manager</t>
  </si>
  <si>
    <t>BUG-066</t>
  </si>
  <si>
    <t>DL2120</t>
  </si>
  <si>
    <t>L2-120</t>
  </si>
  <si>
    <t>Reservation release</t>
  </si>
  <si>
    <t>1. Sign in as Inventory Manager. 2. Reject/cancel a sample after reservation. 3. Save or submit. 4. Refresh or reopen the record. 5. Compare the result with the pass condition.</t>
  </si>
  <si>
    <t>Reserved stock is released correctly.</t>
  </si>
  <si>
    <t>BUG-067</t>
  </si>
  <si>
    <t>DL2122</t>
  </si>
  <si>
    <t>L2-122</t>
  </si>
  <si>
    <t>Purchase approval</t>
  </si>
  <si>
    <t>1. Sign in as Inventory Manager. 2. Approve/reject a purchase order. 3. Save or submit. 4. Refresh or reopen the record. 5. Compare the result with the pass condition.</t>
  </si>
  <si>
    <t>Only authorized users can approve.</t>
  </si>
  <si>
    <t>Not available for this version</t>
  </si>
  <si>
    <t>N/A scope decision required: Not available for this version</t>
  </si>
  <si>
    <t>BUG-068</t>
  </si>
  <si>
    <t>DL2123</t>
  </si>
  <si>
    <t>L2-123</t>
  </si>
  <si>
    <t>Import/export</t>
  </si>
  <si>
    <t>1. Sign in as Inventory Manager. 2. Import valid/invalid inventory and export the result. 3. Save or submit. 4. Refresh or reopen the record. 5. Compare the result with the pass condition.</t>
  </si>
  <si>
    <t>Valid rows load, errors are clear and export reconciles.</t>
  </si>
  <si>
    <t>There is no option here to export the result</t>
  </si>
  <si>
    <t>Fix Inventory workflow for "Import/export" so actual behavior matches expected result: Valid rows load, errors are clear and export reconciles.</t>
  </si>
  <si>
    <t>Have to retest</t>
  </si>
  <si>
    <t>BUG-069</t>
  </si>
  <si>
    <t>DL2125</t>
  </si>
  <si>
    <t>L2-125</t>
  </si>
  <si>
    <t>Accounts, Corporate &amp; Expenses</t>
  </si>
  <si>
    <t>Invoice journal</t>
  </si>
  <si>
    <t>Accounts Manager</t>
  </si>
  <si>
    <t>1. Sign in as Accounts Manager. 2. Create a bill. 3. Save or submit. 4. Refresh or reopen the record. 5. Compare the result with the pass condition.</t>
  </si>
  <si>
    <t>Receivable/revenue journal is balanced and linked.</t>
  </si>
  <si>
    <t>The bill was created successfully and closed with an amount of ₹7,200. However, the ₹7,200 is not reflected in the “Revenue” section of the Accounts Dashboard. The same amount is correctly reflected in the “Total Collection” section of the Reports Dashboard.</t>
  </si>
  <si>
    <t>Fix Accounts, Corporate &amp; Expenses workflow for "Invoice journal" so actual behavior matches expected result: Receivable/revenue journal is balanced and linked.</t>
  </si>
  <si>
    <t>The closed bill amount is reflected in Total Collection but is not updated in Revenue on the Accounts Dashboard</t>
  </si>
  <si>
    <t>BUG-070</t>
  </si>
  <si>
    <t>DL2127</t>
  </si>
  <si>
    <t>L2-127</t>
  </si>
  <si>
    <t>Refund journal</t>
  </si>
  <si>
    <t>1. Sign in as Accounts Manager. 2. Refund a payment. 3. Save or submit. 4. Refresh or reopen the record. 5. Compare the result with the pass condition.</t>
  </si>
  <si>
    <t>Reversal is balanced and linked.</t>
  </si>
  <si>
    <t>The payment of ₹2,000 was refunded successfully, and the reversal entry was created with the correct amount. The refunded amount is reflected in the “Revenue” section of the Accounts Dashboard but is not reflected in the “Daily Collection” section of the Reports Dashboard.</t>
  </si>
  <si>
    <t>Fix Accounts, Corporate &amp; Expenses workflow for "Refund journal" so actual behavior matches expected result: Reversal is balanced and linked.</t>
  </si>
  <si>
    <t>BUG-071</t>
  </si>
  <si>
    <t>DL2128</t>
  </si>
  <si>
    <t>L2-128</t>
  </si>
  <si>
    <t>Journal balance</t>
  </si>
  <si>
    <t>1. Sign in as Accounts Manager. 2. Review generated journals. 3. Save or submit. 4. Refresh or reopen the record. 5. Compare the result with the pass condition.</t>
  </si>
  <si>
    <t>Total debit equals total credit.</t>
  </si>
  <si>
    <t>When the same account type is selected for both Debit and Credit with equal amounts, the system displays an error message(Unable to post journal entry). However, when different account types are selected for Debit and Credit with equal amounts, the journal entry is submitted successfully.
 The manual journal entry process is also complicated .</t>
  </si>
  <si>
    <t>Failed result requires rework: When the same account type is selected for both Debit and Credit with equal amounts, the system displays an error message(Unable to post journal entry). However, when different account types are selected for Debit and Credit with equal amounts, the journal entry is submitted successfully.
 The manual journal entry process is also complicated .</t>
  </si>
  <si>
    <t>Fix Accounts, Corporate &amp; Expenses workflow for "Journal balance" so actual behavior matches expected result: Total debit equals total credit.</t>
  </si>
  <si>
    <t>BUG-072</t>
  </si>
  <si>
    <t>DL2134</t>
  </si>
  <si>
    <t>L2-134</t>
  </si>
  <si>
    <t>Expense validation</t>
  </si>
  <si>
    <t>1. Sign in as Accounts Manager. 2. Create valid and invalid expenses. 3. Save or submit. 4. Refresh or reopen the record. 5. Compare the result with the pass condition.</t>
  </si>
  <si>
    <t>Only valid authorized expense saves.</t>
  </si>
  <si>
    <t>Invalid expenses also can submit</t>
  </si>
  <si>
    <t>Fix Accounts, Corporate &amp; Expenses workflow for "Expense validation" so actual behavior matches expected result: Only valid authorized expense saves.</t>
  </si>
  <si>
    <t>BUG-073</t>
  </si>
  <si>
    <t>DL2135</t>
  </si>
  <si>
    <t>L2-135</t>
  </si>
  <si>
    <t>Expense approval</t>
  </si>
  <si>
    <t>1. Sign in as Accounts Manager. 2. Submit and approve/reject an expense. 3. Save or submit. 4. Refresh or reopen the record. 5. Compare the result with the pass condition.</t>
  </si>
  <si>
    <t>Approval history is complete.</t>
  </si>
  <si>
    <t>This option is not in the application</t>
  </si>
  <si>
    <t>N/A scope decision required: This option is not in the application</t>
  </si>
  <si>
    <t>BUG-074</t>
  </si>
  <si>
    <t>DL2137</t>
  </si>
  <si>
    <t>L2-137</t>
  </si>
  <si>
    <t>Recurring expense</t>
  </si>
  <si>
    <t>1. Sign in as Accounts Manager. 2. Create and generate a recurring expense. 3. Save or submit. 4. Refresh or reopen the record. 5. Compare the result with the pass condition.</t>
  </si>
  <si>
    <t>No missed or duplicate entries.</t>
  </si>
  <si>
    <t>Duplicate entries are coming in the expenses</t>
  </si>
  <si>
    <t>Failed result requires rework: Duplicate entries are coming in the expenses</t>
  </si>
  <si>
    <t>Fix Accounts, Corporate &amp; Expenses workflow for "Recurring expense" so actual behavior matches expected result: No missed or duplicate entries.</t>
  </si>
  <si>
    <t>BUG-075</t>
  </si>
  <si>
    <t>DL2138</t>
  </si>
  <si>
    <t>L2-138</t>
  </si>
  <si>
    <t>Corporate statement</t>
  </si>
  <si>
    <t>1. Sign in as Accounts Manager. 2. Generate a statement for a date range. 3. Save or submit. 4. Refresh or reopen the record. 5. Compare the result with the pass condition.</t>
  </si>
  <si>
    <t>Opening, bills, payments and closing balance reconcile.</t>
  </si>
  <si>
    <t>Date filters are not available for Billing and payment</t>
  </si>
  <si>
    <t>Fix Accounts, Corporate &amp; Expenses workflow for "Corporate statement" so actual behavior matches expected result: Opening, bills, payments and closing balance reconcile.</t>
  </si>
  <si>
    <t>BUG-076</t>
  </si>
  <si>
    <t>DL2139</t>
  </si>
  <si>
    <t>L2-139</t>
  </si>
  <si>
    <t>Corporate aging</t>
  </si>
  <si>
    <t>1. Sign in as Accounts Manager. 2. Age outstanding corporate invoices. 3. Save or submit. 4. Refresh or reopen the record. 5. Compare the result with the pass condition.</t>
  </si>
  <si>
    <t>Aging buckets are correct.</t>
  </si>
  <si>
    <t>Invoices are not available</t>
  </si>
  <si>
    <t>N/A scope decision required: Invoices are not available</t>
  </si>
  <si>
    <t>BUG-077</t>
  </si>
  <si>
    <t>DL2140</t>
  </si>
  <si>
    <t>L2-140</t>
  </si>
  <si>
    <t>Daily close/reopen</t>
  </si>
  <si>
    <t>1. Sign in as Accounts Manager. 2. Close, attempt late entry and authorized reopen. 3. Save or submit. 4. Refresh or reopen the record. 5. Compare the result with the pass condition.</t>
  </si>
  <si>
    <t>Policy, reason and audit are enforced.</t>
  </si>
  <si>
    <t>Not available</t>
  </si>
  <si>
    <t>N/A scope decision required: Not available</t>
  </si>
  <si>
    <t>BUG-078</t>
  </si>
  <si>
    <t>DL2141</t>
  </si>
  <si>
    <t>L2-141</t>
  </si>
  <si>
    <t>Financial export</t>
  </si>
  <si>
    <t>1. Sign in as Accounts Manager. 2. Export ledger, P&amp;L and statements. 3. Save or submit. 4. Refresh or reopen the record. 5. Compare the result with the pass condition.</t>
  </si>
  <si>
    <t>Export matches screen totals.</t>
  </si>
  <si>
    <t>PDF export cannot be done; others are working, like Excel and CSV.</t>
  </si>
  <si>
    <t>Fix Accounts, Corporate &amp; Expenses workflow for "Financial export" so actual behavior matches expected result: Export matches screen totals.</t>
  </si>
  <si>
    <t>BUG-079</t>
  </si>
  <si>
    <t>DL2152</t>
  </si>
  <si>
    <t>L2-152</t>
  </si>
  <si>
    <t>Doctor &amp; Patient Portals</t>
  </si>
  <si>
    <t>Reissue patient slip</t>
  </si>
  <si>
    <t>Portal User</t>
  </si>
  <si>
    <t>1. Sign in as Portal User. 2. Issue a new slip after active login. 3. Save or submit. 4. Refresh or reopen the record. 5. Compare the result with the pass condition.</t>
  </si>
  <si>
    <t>Old credentials and sessions are invalidated.</t>
  </si>
  <si>
    <t>This field is not available</t>
  </si>
  <si>
    <t>Fix Doctor &amp; Patient Portals workflow for "Reissue patient slip" so actual behavior matches expected result: Old credentials and sessions are invalidated.</t>
  </si>
  <si>
    <t>BUG-080</t>
  </si>
  <si>
    <t>DL2155</t>
  </si>
  <si>
    <t>L2-155</t>
  </si>
  <si>
    <t>Portal print</t>
  </si>
  <si>
    <t>1. Sign in as Portal User. 2. Print a Released report from patient and doctor portals. 3. Save or submit. 4. Refresh or reopen the record. 5. Compare the result with the pass condition.</t>
  </si>
  <si>
    <t>Correct report prints without hidden internal data.</t>
  </si>
  <si>
    <t>Unable to print a report. Also, for the doctor, we do not have a released report list</t>
  </si>
  <si>
    <t>Fix Doctor &amp; Patient Portals workflow for "Portal print" so actual behavior matches expected result: Correct report prints without hidden internal data.</t>
  </si>
  <si>
    <t>Have to retest after fix</t>
  </si>
  <si>
    <t>BUG-081</t>
  </si>
  <si>
    <t>DL2156</t>
  </si>
  <si>
    <t>L2-156</t>
  </si>
  <si>
    <t>Portal audit</t>
  </si>
  <si>
    <t>1. Sign in as Portal User. 2. Login and open a report. 3. Save or submit. 4. Refresh or reopen the record. 5. Compare the result with the pass condition.</t>
  </si>
  <si>
    <t>Portal access events are auditable.</t>
  </si>
  <si>
    <t>For a non-investor doctor, the patient reports are not generated on his login page. But if the doctor is an investor, he is able to view patient reports</t>
  </si>
  <si>
    <t>Fix Doctor &amp; Patient Portals workflow for "Portal audit" so actual behavior matches expected result: Portal access events are auditable.</t>
  </si>
  <si>
    <t>BUG-082</t>
  </si>
  <si>
    <t>DL2163</t>
  </si>
  <si>
    <t>L2-163</t>
  </si>
  <si>
    <t>Dashboard, Search, Notifications &amp; Analytics</t>
  </si>
  <si>
    <t>Read/unread state</t>
  </si>
  <si>
    <t>1. Sign in as Lab Manager. 2. Mark notification read and reload. 3. Save or submit. 4. Refresh or reopen the record. 5. Compare the result with the pass condition.</t>
  </si>
  <si>
    <t>State persists.</t>
  </si>
  <si>
    <t>Notifications are not shown</t>
  </si>
  <si>
    <t>Failed result requires rework: Notifications are not shown</t>
  </si>
  <si>
    <t>Fix Dashboard, Search, Notifications &amp; Analytics workflow for "Read/unread state" so actual behavior matches expected result: State persists.</t>
  </si>
  <si>
    <t>BUG-083</t>
  </si>
  <si>
    <t>DL2164</t>
  </si>
  <si>
    <t>L2-164</t>
  </si>
  <si>
    <t>Notification preferences</t>
  </si>
  <si>
    <t>1. Sign in as Lab Manager. 2. Disable a notification category. 3. Save or submit. 4. Refresh or reopen the record. 5. Compare the result with the pass condition.</t>
  </si>
  <si>
    <t>Preference is respected.</t>
  </si>
  <si>
    <t>There is no Notification category</t>
  </si>
  <si>
    <t>Failed result requires rework: There is no Notification category</t>
  </si>
  <si>
    <t>Fix Dashboard, Search, Notifications &amp; Analytics workflow for "Notification preferences" so actual behavior matches expected result: Preference is respected.</t>
  </si>
  <si>
    <t>BUG-084</t>
  </si>
  <si>
    <t>DL2171</t>
  </si>
  <si>
    <t>L2-171</t>
  </si>
  <si>
    <t>Developer, Subscription &amp; Tenant</t>
  </si>
  <si>
    <t>Module plan</t>
  </si>
  <si>
    <t>1. Sign in as Developer Admin. 2. Change subscription plan/modules. 3. Save or submit. 4. Refresh or reopen the record. 5. Compare the result with the pass condition.</t>
  </si>
  <si>
    <t>Navigation and APIs follow the new plan.</t>
  </si>
  <si>
    <t>I changed it to a standard subscription again after the 6th staff was created. But still, it maintained the 6th staff. Therefore, the lab admin needs to ensure one staff removal. Because if this is accepted like this. This will lead to misuse.</t>
  </si>
  <si>
    <t>Failed result requires rework: I changed it to a standard subscription again after the 6th staff was created. But still, it maintained the 6th staff. Therefore, the lab admin needs to ensure one staff removal. Because if this is accepted like this. This will lead to misuse.</t>
  </si>
  <si>
    <t>Fix Developer, Subscription &amp; Tenant workflow for "Module plan" so actual behavior matches expected result: Navigation and APIs follow the new plan.</t>
  </si>
  <si>
    <t>BUG-085</t>
  </si>
  <si>
    <t>DL2173</t>
  </si>
  <si>
    <t>L2-173</t>
  </si>
  <si>
    <t>Upgrade request</t>
  </si>
  <si>
    <t>1. Sign in as Developer Admin. 2. Submit and confirm a subscription upgrade. 3. Save or submit. 4. Refresh or reopen the record. 5. Compare the result with the pass condition.</t>
  </si>
  <si>
    <t>Plan changes once with traceable history.</t>
  </si>
  <si>
    <t>The same test was done for the previous scenario, and it failed (refer to L2-171), Defect ID: DL2171</t>
  </si>
  <si>
    <t>Failed result requires rework: The same test was done for the previous scenario, and it failed (refer to L2-171), Defect ID: DL2171</t>
  </si>
  <si>
    <t>Fix Developer, Subscription &amp; Tenant workflow for "Upgrade request" so actual behavior matches expected result: Plan changes once with traceable history.</t>
  </si>
  <si>
    <t>Metric</t>
  </si>
  <si>
    <t>Formula / Value</t>
  </si>
  <si>
    <t>Total Bugs</t>
  </si>
  <si>
    <t>Failed Bugs</t>
  </si>
  <si>
    <t>N/A Review Bugs</t>
  </si>
  <si>
    <t>Open Developer Items</t>
  </si>
  <si>
    <t>In Progress</t>
  </si>
  <si>
    <t>Fixed</t>
  </si>
  <si>
    <t>Closed</t>
  </si>
  <si>
    <t>Release Rule</t>
  </si>
  <si>
    <t>All BUG-001 to BUG-085 must be Closed or formally Deferred before release.</t>
  </si>
  <si>
    <t>Open/In Progress</t>
  </si>
  <si>
    <t>Developer Bug Rework Maintenance Rule</t>
  </si>
  <si>
    <t>Details</t>
  </si>
  <si>
    <t>Step 1</t>
  </si>
  <si>
    <t>Assign Developer Name for every Unassigned bug.</t>
  </si>
  <si>
    <t>Step 2</t>
  </si>
  <si>
    <t>Developer fills Developer Rework Date, Reason / Root Cause, Fix Notes, and Fix Build.</t>
  </si>
  <si>
    <t>Step 3</t>
  </si>
  <si>
    <t>QA retests only after Bug Status is Fixed.</t>
  </si>
  <si>
    <t>Step 4</t>
  </si>
  <si>
    <t>Failed retest becomes Reopened; Passed retest becomes Closed.</t>
  </si>
  <si>
    <t>Step 5</t>
  </si>
  <si>
    <t>N/A items need Product/QA approval with written reason before closure/deferment.</t>
  </si>
  <si>
    <t>No release until all 85 items are Closed or formally Deferred.</t>
  </si>
  <si>
    <t>Source Workbook</t>
  </si>
  <si>
    <t>C:\Users\rishi\Downloads\LIMS_Three_Level_Release_Testing_Tracker (1) (2) (1).xlsx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</si>
</sst>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m\-yyyy"/>
  </numFmts>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3">
    <border>
      <left/>
      <right/>
      <top/>
      <bottom/>
      <diagonal/>
    </border>
    <border>
      <left/>
      <right/>
      <top/>
      <bottom style="thin">
        <color rgb="FFD9E2F3"/>
      </bottom>
      <diagonal/>
    </border>
    <border>
      <left/>
      <right/>
      <top/>
      <bottom style="hair">
        <color rgb="FFE5E7EB"/>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165" fontId="0" fillId="0" borderId="2" xfId="0" applyNumberFormat="1" applyBorder="1" applyAlignment="1">
      <alignment vertical="top" wrapText="1"/>
    </xf>
    <xf numFmtId="0" fontId="1" fillId="2" borderId="0" xfId="0" applyFont="1" applyFill="1"/>
    <xf numFmtId="0" fontId="0" fillId="3" borderId="2" xfId="0" applyFill="1" applyBorder="1" applyAlignment="1">
      <alignment vertical="top" wrapText="1"/>
    </xf>
    <xf numFmtId="165" fontId="0" fillId="3" borderId="2" xfId="0" applyNumberFormat="1" applyFill="1" applyBorder="1" applyAlignment="1">
      <alignment vertical="top" wrapText="1"/>
    </xf>
    <xf numFmtId="0" fontId="0" fillId="3" borderId="0" xfId="0" applyFill="1"/>
  </cellXfs>
  <cellStyles count="1">
    <cellStyle name="Normal" xfId="0" builtinId="0"/>
  </cellStyles>
  <dxfs count="4">
    <dxf>
      <fill>
        <patternFill patternType="solid">
          <fgColor rgb="FFC6EFCE"/>
        </patternFill>
      </fill>
    </dxf>
    <dxf>
      <fill>
        <patternFill patternType="solid">
          <fgColor rgb="FFFFC7CE"/>
        </patternFill>
      </fill>
    </dxf>
    <dxf>
      <fill>
        <patternFill patternType="solid">
          <fgColor rgb="FFD9EAD3"/>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86"/>
  <sheetViews>
    <sheetView tabSelected="1" workbookViewId="0">
      <pane ySplit="1" topLeftCell="A66" activePane="bottomLeft" state="frozen"/>
      <selection pane="bottomLeft" activeCell="F91" sqref="F91"/>
    </sheetView>
  </sheetViews>
  <sheetFormatPr defaultRowHeight="14.4" x14ac:dyDescent="0.3"/>
  <cols>
    <col min="1" max="1" width="12" customWidth="1"/>
    <col min="2" max="2" width="16" customWidth="1"/>
    <col min="3" max="3" width="14" customWidth="1"/>
    <col min="4" max="4" width="12" customWidth="1"/>
    <col min="5" max="5" width="28" customWidth="1"/>
    <col min="6" max="6" width="22" customWidth="1"/>
    <col min="7" max="7" width="42" customWidth="1"/>
    <col min="8" max="8" width="18" customWidth="1"/>
    <col min="9" max="9" width="22" customWidth="1"/>
    <col min="10" max="11" width="12" customWidth="1"/>
    <col min="12" max="12" width="14" customWidth="1"/>
    <col min="13" max="13" width="18" customWidth="1"/>
    <col min="14" max="14" width="12" customWidth="1"/>
    <col min="15" max="15" width="16" customWidth="1"/>
    <col min="16" max="16" width="20" customWidth="1"/>
    <col min="17" max="17" width="18" customWidth="1"/>
    <col min="18" max="18" width="14" customWidth="1"/>
    <col min="19" max="21" width="16" customWidth="1"/>
    <col min="22" max="22" width="18" customWidth="1"/>
    <col min="23" max="23" width="12" customWidth="1"/>
    <col min="24" max="26" width="14" customWidth="1"/>
    <col min="27" max="27" width="18" customWidth="1"/>
    <col min="28" max="28" width="34" customWidth="1"/>
    <col min="29" max="29" width="28" customWidth="1"/>
    <col min="30" max="31" width="55" customWidth="1"/>
    <col min="32" max="32" width="42" customWidth="1"/>
    <col min="33" max="33" width="55" customWidth="1"/>
    <col min="34" max="34" width="60" customWidth="1"/>
    <col min="35" max="35" width="45" customWidth="1"/>
    <col min="36" max="36" width="28" customWidth="1"/>
    <col min="37" max="37" width="35" customWidth="1"/>
  </cols>
  <sheetData>
    <row r="1" spans="1:37"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43.2" hidden="1" x14ac:dyDescent="0.3">
      <c r="A2" s="2" t="s">
        <v>37</v>
      </c>
      <c r="B2" s="2" t="s">
        <v>38</v>
      </c>
      <c r="C2" s="2" t="s">
        <v>39</v>
      </c>
      <c r="D2" s="2" t="s">
        <v>40</v>
      </c>
      <c r="E2" s="2" t="s">
        <v>41</v>
      </c>
      <c r="F2" s="2"/>
      <c r="G2" s="2" t="s">
        <v>42</v>
      </c>
      <c r="H2" s="2" t="s">
        <v>43</v>
      </c>
      <c r="I2" s="2" t="s">
        <v>44</v>
      </c>
      <c r="J2" s="2" t="s">
        <v>45</v>
      </c>
      <c r="K2" s="2" t="s">
        <v>46</v>
      </c>
      <c r="L2" s="2" t="s">
        <v>47</v>
      </c>
      <c r="M2" s="2" t="s">
        <v>48</v>
      </c>
      <c r="N2" s="2" t="s">
        <v>45</v>
      </c>
      <c r="O2" s="2" t="s">
        <v>49</v>
      </c>
      <c r="P2" s="2" t="s">
        <v>50</v>
      </c>
      <c r="Q2" s="3"/>
      <c r="R2" s="3">
        <v>46262</v>
      </c>
      <c r="S2" s="3"/>
      <c r="T2" s="3"/>
      <c r="U2" s="2" t="s">
        <v>51</v>
      </c>
      <c r="V2" s="2" t="s">
        <v>49</v>
      </c>
      <c r="W2" s="2">
        <f t="shared" ref="W2:W33" ca="1" si="0">IF(R2="","",TODAY()-R2)</f>
        <v>21</v>
      </c>
      <c r="X2" s="2" t="s">
        <v>52</v>
      </c>
      <c r="Y2" s="2"/>
      <c r="Z2" s="2"/>
      <c r="AA2" s="2" t="s">
        <v>53</v>
      </c>
      <c r="AB2" s="2" t="s">
        <v>54</v>
      </c>
      <c r="AC2" s="2" t="s">
        <v>55</v>
      </c>
      <c r="AD2" s="2" t="s">
        <v>56</v>
      </c>
      <c r="AE2" s="2" t="s">
        <v>57</v>
      </c>
      <c r="AF2" s="2" t="s">
        <v>58</v>
      </c>
      <c r="AG2" s="2" t="s">
        <v>59</v>
      </c>
      <c r="AH2" s="2" t="s">
        <v>60</v>
      </c>
      <c r="AI2" s="2"/>
      <c r="AJ2" s="2"/>
      <c r="AK2" s="2" t="s">
        <v>61</v>
      </c>
    </row>
    <row r="3" spans="1:37" ht="57.6" hidden="1" x14ac:dyDescent="0.3">
      <c r="A3" s="2" t="s">
        <v>62</v>
      </c>
      <c r="B3" s="2" t="s">
        <v>63</v>
      </c>
      <c r="C3" s="2" t="s">
        <v>64</v>
      </c>
      <c r="D3" s="2" t="s">
        <v>40</v>
      </c>
      <c r="E3" s="2" t="s">
        <v>65</v>
      </c>
      <c r="F3" s="2"/>
      <c r="G3" s="2" t="s">
        <v>66</v>
      </c>
      <c r="H3" s="2" t="s">
        <v>43</v>
      </c>
      <c r="I3" s="2" t="s">
        <v>67</v>
      </c>
      <c r="J3" s="2" t="s">
        <v>45</v>
      </c>
      <c r="K3" s="2" t="s">
        <v>46</v>
      </c>
      <c r="L3" s="2" t="s">
        <v>47</v>
      </c>
      <c r="M3" s="2" t="s">
        <v>48</v>
      </c>
      <c r="N3" s="2" t="s">
        <v>68</v>
      </c>
      <c r="O3" s="2" t="s">
        <v>49</v>
      </c>
      <c r="P3" s="2" t="s">
        <v>50</v>
      </c>
      <c r="Q3" s="3"/>
      <c r="R3" s="3">
        <v>46268</v>
      </c>
      <c r="S3" s="3"/>
      <c r="T3" s="3"/>
      <c r="U3" s="2" t="s">
        <v>51</v>
      </c>
      <c r="V3" s="2" t="s">
        <v>49</v>
      </c>
      <c r="W3" s="2">
        <f t="shared" ca="1" si="0"/>
        <v>15</v>
      </c>
      <c r="X3" s="2" t="s">
        <v>52</v>
      </c>
      <c r="Y3" s="2"/>
      <c r="Z3" s="2"/>
      <c r="AA3" s="2" t="s">
        <v>53</v>
      </c>
      <c r="AB3" s="2" t="s">
        <v>54</v>
      </c>
      <c r="AC3" s="2" t="s">
        <v>55</v>
      </c>
      <c r="AD3" s="2" t="s">
        <v>69</v>
      </c>
      <c r="AE3" s="2" t="s">
        <v>70</v>
      </c>
      <c r="AF3" s="2" t="s">
        <v>71</v>
      </c>
      <c r="AG3" s="2" t="s">
        <v>72</v>
      </c>
      <c r="AH3" s="2" t="s">
        <v>73</v>
      </c>
      <c r="AI3" s="2"/>
      <c r="AJ3" s="2"/>
      <c r="AK3" s="2" t="s">
        <v>74</v>
      </c>
    </row>
    <row r="4" spans="1:37" ht="43.2" hidden="1" x14ac:dyDescent="0.3">
      <c r="A4" s="2" t="s">
        <v>75</v>
      </c>
      <c r="B4" s="2" t="s">
        <v>76</v>
      </c>
      <c r="C4" s="2" t="s">
        <v>77</v>
      </c>
      <c r="D4" s="2" t="s">
        <v>40</v>
      </c>
      <c r="E4" s="2" t="s">
        <v>78</v>
      </c>
      <c r="F4" s="2"/>
      <c r="G4" s="2" t="s">
        <v>79</v>
      </c>
      <c r="H4" s="2" t="s">
        <v>43</v>
      </c>
      <c r="I4" s="2" t="s">
        <v>80</v>
      </c>
      <c r="J4" s="2" t="s">
        <v>45</v>
      </c>
      <c r="K4" s="2" t="s">
        <v>46</v>
      </c>
      <c r="L4" s="2" t="s">
        <v>47</v>
      </c>
      <c r="M4" s="2" t="s">
        <v>48</v>
      </c>
      <c r="N4" s="2" t="s">
        <v>81</v>
      </c>
      <c r="O4" s="2" t="s">
        <v>49</v>
      </c>
      <c r="P4" s="2" t="s">
        <v>50</v>
      </c>
      <c r="Q4" s="3"/>
      <c r="R4" s="3"/>
      <c r="S4" s="3"/>
      <c r="T4" s="3"/>
      <c r="U4" s="2" t="s">
        <v>82</v>
      </c>
      <c r="V4" s="2" t="s">
        <v>49</v>
      </c>
      <c r="W4" s="2" t="str">
        <f t="shared" ca="1" si="0"/>
        <v/>
      </c>
      <c r="X4" s="2" t="s">
        <v>83</v>
      </c>
      <c r="Y4" s="2"/>
      <c r="Z4" s="2"/>
      <c r="AA4" s="2" t="s">
        <v>84</v>
      </c>
      <c r="AB4" s="2" t="s">
        <v>54</v>
      </c>
      <c r="AC4" s="2" t="s">
        <v>55</v>
      </c>
      <c r="AD4" s="2" t="s">
        <v>85</v>
      </c>
      <c r="AE4" s="2" t="s">
        <v>86</v>
      </c>
      <c r="AF4" s="2" t="s">
        <v>87</v>
      </c>
      <c r="AG4" s="2" t="s">
        <v>88</v>
      </c>
      <c r="AH4" s="2" t="s">
        <v>89</v>
      </c>
      <c r="AI4" s="2"/>
      <c r="AJ4" s="2"/>
      <c r="AK4" s="2"/>
    </row>
    <row r="5" spans="1:37" ht="57.6" hidden="1" x14ac:dyDescent="0.3">
      <c r="A5" s="2" t="s">
        <v>90</v>
      </c>
      <c r="B5" s="2" t="s">
        <v>91</v>
      </c>
      <c r="C5" s="2" t="s">
        <v>92</v>
      </c>
      <c r="D5" s="2" t="s">
        <v>40</v>
      </c>
      <c r="E5" s="2" t="s">
        <v>78</v>
      </c>
      <c r="F5" s="2"/>
      <c r="G5" s="2" t="s">
        <v>93</v>
      </c>
      <c r="H5" s="2" t="s">
        <v>43</v>
      </c>
      <c r="I5" s="2" t="s">
        <v>80</v>
      </c>
      <c r="J5" s="2" t="s">
        <v>45</v>
      </c>
      <c r="K5" s="2" t="s">
        <v>46</v>
      </c>
      <c r="L5" s="2" t="s">
        <v>47</v>
      </c>
      <c r="M5" s="2" t="s">
        <v>48</v>
      </c>
      <c r="N5" s="2" t="s">
        <v>81</v>
      </c>
      <c r="O5" s="2" t="s">
        <v>49</v>
      </c>
      <c r="P5" s="2" t="s">
        <v>50</v>
      </c>
      <c r="Q5" s="3"/>
      <c r="R5" s="3"/>
      <c r="S5" s="3"/>
      <c r="T5" s="3"/>
      <c r="U5" s="2" t="s">
        <v>82</v>
      </c>
      <c r="V5" s="2" t="s">
        <v>49</v>
      </c>
      <c r="W5" s="2" t="str">
        <f t="shared" ca="1" si="0"/>
        <v/>
      </c>
      <c r="X5" s="2" t="s">
        <v>83</v>
      </c>
      <c r="Y5" s="2"/>
      <c r="Z5" s="2"/>
      <c r="AA5" s="2" t="s">
        <v>84</v>
      </c>
      <c r="AB5" s="2" t="s">
        <v>54</v>
      </c>
      <c r="AC5" s="2" t="s">
        <v>55</v>
      </c>
      <c r="AD5" s="2" t="s">
        <v>94</v>
      </c>
      <c r="AE5" s="2" t="s">
        <v>95</v>
      </c>
      <c r="AF5" s="2" t="s">
        <v>87</v>
      </c>
      <c r="AG5" s="2" t="s">
        <v>88</v>
      </c>
      <c r="AH5" s="2" t="s">
        <v>96</v>
      </c>
      <c r="AI5" s="2"/>
      <c r="AJ5" s="2"/>
      <c r="AK5" s="2"/>
    </row>
    <row r="6" spans="1:37" ht="43.2" hidden="1" x14ac:dyDescent="0.3">
      <c r="A6" s="2" t="s">
        <v>97</v>
      </c>
      <c r="B6" s="2" t="s">
        <v>98</v>
      </c>
      <c r="C6" s="2" t="s">
        <v>99</v>
      </c>
      <c r="D6" s="2" t="s">
        <v>40</v>
      </c>
      <c r="E6" s="2" t="s">
        <v>78</v>
      </c>
      <c r="F6" s="2"/>
      <c r="G6" s="2" t="s">
        <v>100</v>
      </c>
      <c r="H6" s="2" t="s">
        <v>43</v>
      </c>
      <c r="I6" s="2" t="s">
        <v>101</v>
      </c>
      <c r="J6" s="2" t="s">
        <v>45</v>
      </c>
      <c r="K6" s="2" t="s">
        <v>46</v>
      </c>
      <c r="L6" s="2" t="s">
        <v>47</v>
      </c>
      <c r="M6" s="2" t="s">
        <v>48</v>
      </c>
      <c r="N6" s="2" t="s">
        <v>45</v>
      </c>
      <c r="O6" s="2" t="s">
        <v>49</v>
      </c>
      <c r="P6" s="2" t="s">
        <v>50</v>
      </c>
      <c r="Q6" s="3"/>
      <c r="R6" s="3">
        <v>46267</v>
      </c>
      <c r="S6" s="3"/>
      <c r="T6" s="3"/>
      <c r="U6" s="2" t="s">
        <v>82</v>
      </c>
      <c r="V6" s="2" t="s">
        <v>49</v>
      </c>
      <c r="W6" s="2">
        <f t="shared" ca="1" si="0"/>
        <v>16</v>
      </c>
      <c r="X6" s="2" t="s">
        <v>83</v>
      </c>
      <c r="Y6" s="2"/>
      <c r="Z6" s="2"/>
      <c r="AA6" s="2" t="s">
        <v>102</v>
      </c>
      <c r="AB6" s="2" t="s">
        <v>54</v>
      </c>
      <c r="AC6" s="2" t="s">
        <v>55</v>
      </c>
      <c r="AD6" s="2" t="s">
        <v>103</v>
      </c>
      <c r="AE6" s="2" t="s">
        <v>104</v>
      </c>
      <c r="AF6" s="2" t="s">
        <v>105</v>
      </c>
      <c r="AG6" s="2" t="s">
        <v>106</v>
      </c>
      <c r="AH6" s="2" t="s">
        <v>107</v>
      </c>
      <c r="AI6" s="2"/>
      <c r="AJ6" s="2" t="s">
        <v>108</v>
      </c>
      <c r="AK6" s="2"/>
    </row>
    <row r="7" spans="1:37" ht="43.2" hidden="1" x14ac:dyDescent="0.3">
      <c r="A7" s="2" t="s">
        <v>109</v>
      </c>
      <c r="B7" s="2" t="s">
        <v>110</v>
      </c>
      <c r="C7" s="2" t="s">
        <v>111</v>
      </c>
      <c r="D7" s="2" t="s">
        <v>40</v>
      </c>
      <c r="E7" s="2" t="s">
        <v>65</v>
      </c>
      <c r="F7" s="2"/>
      <c r="G7" s="2" t="s">
        <v>112</v>
      </c>
      <c r="H7" s="2" t="s">
        <v>43</v>
      </c>
      <c r="I7" s="2" t="s">
        <v>101</v>
      </c>
      <c r="J7" s="2" t="s">
        <v>45</v>
      </c>
      <c r="K7" s="2" t="s">
        <v>46</v>
      </c>
      <c r="L7" s="2" t="s">
        <v>47</v>
      </c>
      <c r="M7" s="2" t="s">
        <v>48</v>
      </c>
      <c r="N7" s="2" t="s">
        <v>45</v>
      </c>
      <c r="O7" s="2" t="s">
        <v>49</v>
      </c>
      <c r="P7" s="2" t="s">
        <v>50</v>
      </c>
      <c r="Q7" s="3"/>
      <c r="R7" s="3">
        <v>46267</v>
      </c>
      <c r="S7" s="3"/>
      <c r="T7" s="3"/>
      <c r="U7" s="2" t="s">
        <v>82</v>
      </c>
      <c r="V7" s="2" t="s">
        <v>49</v>
      </c>
      <c r="W7" s="2">
        <f t="shared" ca="1" si="0"/>
        <v>16</v>
      </c>
      <c r="X7" s="2" t="s">
        <v>83</v>
      </c>
      <c r="Y7" s="2"/>
      <c r="Z7" s="2"/>
      <c r="AA7" s="2" t="s">
        <v>102</v>
      </c>
      <c r="AB7" s="2"/>
      <c r="AC7" s="2" t="s">
        <v>55</v>
      </c>
      <c r="AD7" s="2" t="s">
        <v>113</v>
      </c>
      <c r="AE7" s="2" t="s">
        <v>114</v>
      </c>
      <c r="AF7" s="2" t="s">
        <v>115</v>
      </c>
      <c r="AG7" s="2" t="s">
        <v>116</v>
      </c>
      <c r="AH7" s="2" t="s">
        <v>117</v>
      </c>
      <c r="AI7" s="2"/>
      <c r="AJ7" s="2" t="s">
        <v>108</v>
      </c>
      <c r="AK7" s="2"/>
    </row>
    <row r="8" spans="1:37" ht="43.2" hidden="1" x14ac:dyDescent="0.3">
      <c r="A8" s="2" t="s">
        <v>118</v>
      </c>
      <c r="B8" s="2" t="s">
        <v>119</v>
      </c>
      <c r="C8" s="2" t="s">
        <v>120</v>
      </c>
      <c r="D8" s="2" t="s">
        <v>40</v>
      </c>
      <c r="E8" s="2" t="s">
        <v>121</v>
      </c>
      <c r="F8" s="2"/>
      <c r="G8" s="2" t="s">
        <v>122</v>
      </c>
      <c r="H8" s="2" t="s">
        <v>43</v>
      </c>
      <c r="I8" s="2" t="s">
        <v>123</v>
      </c>
      <c r="J8" s="2" t="s">
        <v>45</v>
      </c>
      <c r="K8" s="2" t="s">
        <v>46</v>
      </c>
      <c r="L8" s="2" t="s">
        <v>47</v>
      </c>
      <c r="M8" s="2" t="s">
        <v>48</v>
      </c>
      <c r="N8" s="2" t="s">
        <v>45</v>
      </c>
      <c r="O8" s="2" t="s">
        <v>49</v>
      </c>
      <c r="P8" s="2" t="s">
        <v>50</v>
      </c>
      <c r="Q8" s="3"/>
      <c r="R8" s="3">
        <v>46268</v>
      </c>
      <c r="S8" s="3"/>
      <c r="T8" s="3"/>
      <c r="U8" s="2" t="s">
        <v>82</v>
      </c>
      <c r="V8" s="2" t="s">
        <v>49</v>
      </c>
      <c r="W8" s="2">
        <f t="shared" ca="1" si="0"/>
        <v>15</v>
      </c>
      <c r="X8" s="2" t="s">
        <v>83</v>
      </c>
      <c r="Y8" s="2"/>
      <c r="Z8" s="2"/>
      <c r="AA8" s="2" t="s">
        <v>102</v>
      </c>
      <c r="AB8" s="2" t="s">
        <v>54</v>
      </c>
      <c r="AC8" s="2" t="s">
        <v>55</v>
      </c>
      <c r="AD8" s="2" t="s">
        <v>124</v>
      </c>
      <c r="AE8" s="2" t="s">
        <v>125</v>
      </c>
      <c r="AF8" s="2" t="s">
        <v>126</v>
      </c>
      <c r="AG8" s="2" t="s">
        <v>127</v>
      </c>
      <c r="AH8" s="2" t="s">
        <v>128</v>
      </c>
      <c r="AI8" s="2"/>
      <c r="AJ8" s="2" t="s">
        <v>108</v>
      </c>
      <c r="AK8" s="2"/>
    </row>
    <row r="9" spans="1:37" ht="129.6" hidden="1" x14ac:dyDescent="0.3">
      <c r="A9" s="2" t="s">
        <v>129</v>
      </c>
      <c r="B9" s="2" t="s">
        <v>130</v>
      </c>
      <c r="C9" s="2" t="s">
        <v>131</v>
      </c>
      <c r="D9" s="2" t="s">
        <v>40</v>
      </c>
      <c r="E9" s="2" t="s">
        <v>132</v>
      </c>
      <c r="F9" s="2"/>
      <c r="G9" s="2" t="s">
        <v>133</v>
      </c>
      <c r="H9" s="2" t="s">
        <v>43</v>
      </c>
      <c r="I9" s="2" t="s">
        <v>134</v>
      </c>
      <c r="J9" s="2" t="s">
        <v>45</v>
      </c>
      <c r="K9" s="2" t="s">
        <v>46</v>
      </c>
      <c r="L9" s="2" t="s">
        <v>47</v>
      </c>
      <c r="M9" s="2" t="s">
        <v>48</v>
      </c>
      <c r="N9" s="2" t="s">
        <v>45</v>
      </c>
      <c r="O9" s="2" t="s">
        <v>49</v>
      </c>
      <c r="P9" s="2" t="s">
        <v>50</v>
      </c>
      <c r="Q9" s="3"/>
      <c r="R9" s="3">
        <v>46268</v>
      </c>
      <c r="S9" s="3"/>
      <c r="T9" s="3"/>
      <c r="U9" s="2" t="s">
        <v>82</v>
      </c>
      <c r="V9" s="2" t="s">
        <v>49</v>
      </c>
      <c r="W9" s="2">
        <f t="shared" ca="1" si="0"/>
        <v>15</v>
      </c>
      <c r="X9" s="2" t="s">
        <v>52</v>
      </c>
      <c r="Y9" s="2"/>
      <c r="Z9" s="2"/>
      <c r="AA9" s="2"/>
      <c r="AB9" s="2" t="s">
        <v>54</v>
      </c>
      <c r="AC9" s="2" t="s">
        <v>55</v>
      </c>
      <c r="AD9" s="2" t="s">
        <v>135</v>
      </c>
      <c r="AE9" s="2" t="s">
        <v>136</v>
      </c>
      <c r="AF9" s="2" t="s">
        <v>137</v>
      </c>
      <c r="AG9" s="2" t="s">
        <v>88</v>
      </c>
      <c r="AH9" s="2" t="s">
        <v>138</v>
      </c>
      <c r="AI9" s="2"/>
      <c r="AJ9" s="2"/>
      <c r="AK9" s="2" t="s">
        <v>139</v>
      </c>
    </row>
    <row r="10" spans="1:37" ht="43.2" hidden="1" x14ac:dyDescent="0.3">
      <c r="A10" s="2" t="s">
        <v>140</v>
      </c>
      <c r="B10" s="2" t="s">
        <v>141</v>
      </c>
      <c r="C10" s="2" t="s">
        <v>142</v>
      </c>
      <c r="D10" s="2" t="s">
        <v>40</v>
      </c>
      <c r="E10" s="2" t="s">
        <v>143</v>
      </c>
      <c r="F10" s="2"/>
      <c r="G10" s="2" t="s">
        <v>144</v>
      </c>
      <c r="H10" s="2" t="s">
        <v>43</v>
      </c>
      <c r="I10" s="2" t="s">
        <v>145</v>
      </c>
      <c r="J10" s="2" t="s">
        <v>146</v>
      </c>
      <c r="K10" s="2" t="s">
        <v>46</v>
      </c>
      <c r="L10" s="2" t="s">
        <v>47</v>
      </c>
      <c r="M10" s="2" t="s">
        <v>48</v>
      </c>
      <c r="N10" s="2" t="s">
        <v>81</v>
      </c>
      <c r="O10" s="2" t="s">
        <v>49</v>
      </c>
      <c r="P10" s="2" t="s">
        <v>50</v>
      </c>
      <c r="Q10" s="3"/>
      <c r="R10" s="3"/>
      <c r="S10" s="3"/>
      <c r="T10" s="3"/>
      <c r="U10" s="2" t="s">
        <v>82</v>
      </c>
      <c r="V10" s="2" t="s">
        <v>49</v>
      </c>
      <c r="W10" s="2" t="str">
        <f t="shared" ca="1" si="0"/>
        <v/>
      </c>
      <c r="X10" s="2" t="s">
        <v>52</v>
      </c>
      <c r="Y10" s="2"/>
      <c r="Z10" s="2"/>
      <c r="AA10" s="2" t="s">
        <v>84</v>
      </c>
      <c r="AB10" s="2" t="s">
        <v>54</v>
      </c>
      <c r="AC10" s="2" t="s">
        <v>55</v>
      </c>
      <c r="AD10" s="2" t="s">
        <v>147</v>
      </c>
      <c r="AE10" s="2" t="s">
        <v>148</v>
      </c>
      <c r="AF10" s="2" t="s">
        <v>149</v>
      </c>
      <c r="AG10" s="2" t="s">
        <v>150</v>
      </c>
      <c r="AH10" s="2" t="s">
        <v>151</v>
      </c>
      <c r="AI10" s="2"/>
      <c r="AJ10" s="2"/>
      <c r="AK10" s="2"/>
    </row>
    <row r="11" spans="1:37" ht="43.2" hidden="1" x14ac:dyDescent="0.3">
      <c r="A11" s="2" t="s">
        <v>152</v>
      </c>
      <c r="B11" s="2" t="s">
        <v>153</v>
      </c>
      <c r="C11" s="2" t="s">
        <v>154</v>
      </c>
      <c r="D11" s="2" t="s">
        <v>155</v>
      </c>
      <c r="E11" s="2" t="s">
        <v>156</v>
      </c>
      <c r="F11" s="2"/>
      <c r="G11" s="2" t="s">
        <v>157</v>
      </c>
      <c r="H11" s="2" t="s">
        <v>158</v>
      </c>
      <c r="I11" s="2" t="s">
        <v>159</v>
      </c>
      <c r="J11" s="2" t="s">
        <v>45</v>
      </c>
      <c r="K11" s="2" t="s">
        <v>160</v>
      </c>
      <c r="L11" s="2" t="s">
        <v>47</v>
      </c>
      <c r="M11" s="2" t="s">
        <v>48</v>
      </c>
      <c r="N11" s="2" t="s">
        <v>45</v>
      </c>
      <c r="O11" s="2" t="s">
        <v>49</v>
      </c>
      <c r="P11" s="2" t="s">
        <v>50</v>
      </c>
      <c r="Q11" s="3"/>
      <c r="R11" s="3">
        <v>46269</v>
      </c>
      <c r="S11" s="3"/>
      <c r="T11" s="3"/>
      <c r="U11" s="2" t="s">
        <v>82</v>
      </c>
      <c r="V11" s="2" t="s">
        <v>49</v>
      </c>
      <c r="W11" s="2">
        <f t="shared" ca="1" si="0"/>
        <v>14</v>
      </c>
      <c r="X11" s="2" t="s">
        <v>83</v>
      </c>
      <c r="Y11" s="2"/>
      <c r="Z11" s="2"/>
      <c r="AA11" s="2" t="s">
        <v>102</v>
      </c>
      <c r="AB11" s="2" t="s">
        <v>54</v>
      </c>
      <c r="AC11" s="2" t="s">
        <v>55</v>
      </c>
      <c r="AD11" s="2" t="s">
        <v>161</v>
      </c>
      <c r="AE11" s="2" t="s">
        <v>162</v>
      </c>
      <c r="AF11" s="2" t="s">
        <v>163</v>
      </c>
      <c r="AG11" s="2" t="s">
        <v>164</v>
      </c>
      <c r="AH11" s="2" t="s">
        <v>165</v>
      </c>
      <c r="AI11" s="2"/>
      <c r="AJ11" s="2" t="s">
        <v>108</v>
      </c>
      <c r="AK11" s="2"/>
    </row>
    <row r="12" spans="1:37" ht="43.2" hidden="1" x14ac:dyDescent="0.3">
      <c r="A12" s="2" t="s">
        <v>166</v>
      </c>
      <c r="B12" s="2" t="s">
        <v>167</v>
      </c>
      <c r="C12" s="2" t="s">
        <v>168</v>
      </c>
      <c r="D12" s="2" t="s">
        <v>155</v>
      </c>
      <c r="E12" s="2" t="s">
        <v>156</v>
      </c>
      <c r="F12" s="2"/>
      <c r="G12" s="2" t="s">
        <v>169</v>
      </c>
      <c r="H12" s="2" t="s">
        <v>170</v>
      </c>
      <c r="I12" s="2" t="s">
        <v>159</v>
      </c>
      <c r="J12" s="2" t="s">
        <v>81</v>
      </c>
      <c r="K12" s="2" t="s">
        <v>160</v>
      </c>
      <c r="L12" s="2" t="s">
        <v>47</v>
      </c>
      <c r="M12" s="2" t="s">
        <v>48</v>
      </c>
      <c r="N12" s="2" t="s">
        <v>81</v>
      </c>
      <c r="O12" s="2" t="s">
        <v>49</v>
      </c>
      <c r="P12" s="2" t="s">
        <v>50</v>
      </c>
      <c r="Q12" s="3"/>
      <c r="R12" s="3">
        <v>46269</v>
      </c>
      <c r="S12" s="3"/>
      <c r="T12" s="3"/>
      <c r="U12" s="2" t="s">
        <v>82</v>
      </c>
      <c r="V12" s="2" t="s">
        <v>49</v>
      </c>
      <c r="W12" s="2">
        <f t="shared" ca="1" si="0"/>
        <v>14</v>
      </c>
      <c r="X12" s="2" t="s">
        <v>83</v>
      </c>
      <c r="Y12" s="2"/>
      <c r="Z12" s="2"/>
      <c r="AA12" s="2" t="s">
        <v>102</v>
      </c>
      <c r="AB12" s="2" t="s">
        <v>54</v>
      </c>
      <c r="AC12" s="2" t="s">
        <v>55</v>
      </c>
      <c r="AD12" s="2" t="s">
        <v>171</v>
      </c>
      <c r="AE12" s="2" t="s">
        <v>172</v>
      </c>
      <c r="AF12" s="2" t="s">
        <v>173</v>
      </c>
      <c r="AG12" s="2" t="s">
        <v>116</v>
      </c>
      <c r="AH12" s="2" t="s">
        <v>174</v>
      </c>
      <c r="AI12" s="2"/>
      <c r="AJ12" s="2" t="s">
        <v>108</v>
      </c>
      <c r="AK12" s="2"/>
    </row>
    <row r="13" spans="1:37" ht="43.2" x14ac:dyDescent="0.3">
      <c r="A13" s="2" t="s">
        <v>175</v>
      </c>
      <c r="B13" s="2" t="s">
        <v>176</v>
      </c>
      <c r="C13" s="2" t="s">
        <v>177</v>
      </c>
      <c r="D13" s="2" t="s">
        <v>155</v>
      </c>
      <c r="E13" s="2" t="s">
        <v>178</v>
      </c>
      <c r="F13" s="2"/>
      <c r="G13" s="2" t="s">
        <v>179</v>
      </c>
      <c r="H13" s="2" t="s">
        <v>170</v>
      </c>
      <c r="I13" s="2"/>
      <c r="J13" s="2" t="s">
        <v>146</v>
      </c>
      <c r="K13" s="2" t="s">
        <v>46</v>
      </c>
      <c r="L13" s="2" t="s">
        <v>180</v>
      </c>
      <c r="M13" s="2" t="s">
        <v>181</v>
      </c>
      <c r="N13" s="2" t="s">
        <v>68</v>
      </c>
      <c r="O13" s="2" t="s">
        <v>182</v>
      </c>
      <c r="P13" s="2" t="s">
        <v>183</v>
      </c>
      <c r="Q13" s="3" t="s">
        <v>184</v>
      </c>
      <c r="R13" s="3">
        <v>46269</v>
      </c>
      <c r="S13" s="3"/>
      <c r="T13" s="3"/>
      <c r="U13" s="2" t="s">
        <v>51</v>
      </c>
      <c r="V13" s="2" t="s">
        <v>185</v>
      </c>
      <c r="W13" s="2">
        <f t="shared" ca="1" si="0"/>
        <v>14</v>
      </c>
      <c r="X13" s="2" t="s">
        <v>52</v>
      </c>
      <c r="Y13" s="2"/>
      <c r="Z13" s="2"/>
      <c r="AA13" s="2" t="s">
        <v>186</v>
      </c>
      <c r="AB13" s="2" t="s">
        <v>54</v>
      </c>
      <c r="AC13" s="2" t="s">
        <v>55</v>
      </c>
      <c r="AD13" s="2" t="s">
        <v>187</v>
      </c>
      <c r="AE13" s="2" t="s">
        <v>188</v>
      </c>
      <c r="AF13" s="2"/>
      <c r="AG13" s="2" t="s">
        <v>189</v>
      </c>
      <c r="AH13" s="2" t="s">
        <v>190</v>
      </c>
      <c r="AI13" s="2"/>
      <c r="AJ13" s="2"/>
      <c r="AK13" s="2"/>
    </row>
    <row r="14" spans="1:37" ht="86.4" hidden="1" x14ac:dyDescent="0.3">
      <c r="A14" s="2" t="s">
        <v>191</v>
      </c>
      <c r="B14" s="2" t="s">
        <v>192</v>
      </c>
      <c r="C14" s="2" t="s">
        <v>193</v>
      </c>
      <c r="D14" s="2" t="s">
        <v>155</v>
      </c>
      <c r="E14" s="2" t="s">
        <v>178</v>
      </c>
      <c r="F14" s="2"/>
      <c r="G14" s="2" t="s">
        <v>194</v>
      </c>
      <c r="H14" s="2" t="s">
        <v>170</v>
      </c>
      <c r="I14" s="2" t="s">
        <v>195</v>
      </c>
      <c r="J14" s="2" t="s">
        <v>81</v>
      </c>
      <c r="K14" s="2" t="s">
        <v>160</v>
      </c>
      <c r="L14" s="2" t="s">
        <v>47</v>
      </c>
      <c r="M14" s="2" t="s">
        <v>48</v>
      </c>
      <c r="N14" s="2" t="s">
        <v>45</v>
      </c>
      <c r="O14" s="2" t="s">
        <v>49</v>
      </c>
      <c r="P14" s="2" t="s">
        <v>50</v>
      </c>
      <c r="Q14" s="3"/>
      <c r="R14" s="3">
        <v>46268</v>
      </c>
      <c r="S14" s="3"/>
      <c r="T14" s="3"/>
      <c r="U14" s="2" t="s">
        <v>82</v>
      </c>
      <c r="V14" s="2" t="s">
        <v>49</v>
      </c>
      <c r="W14" s="2">
        <f t="shared" ca="1" si="0"/>
        <v>15</v>
      </c>
      <c r="X14" s="2" t="s">
        <v>52</v>
      </c>
      <c r="Y14" s="2"/>
      <c r="Z14" s="2"/>
      <c r="AA14" s="2" t="s">
        <v>186</v>
      </c>
      <c r="AB14" s="2" t="s">
        <v>54</v>
      </c>
      <c r="AC14" s="2" t="s">
        <v>55</v>
      </c>
      <c r="AD14" s="2" t="s">
        <v>196</v>
      </c>
      <c r="AE14" s="2" t="s">
        <v>197</v>
      </c>
      <c r="AF14" s="2" t="s">
        <v>198</v>
      </c>
      <c r="AG14" s="2" t="s">
        <v>88</v>
      </c>
      <c r="AH14" s="2" t="s">
        <v>199</v>
      </c>
      <c r="AI14" s="2"/>
      <c r="AJ14" s="2" t="s">
        <v>108</v>
      </c>
      <c r="AK14" s="2"/>
    </row>
    <row r="15" spans="1:37" ht="43.2" x14ac:dyDescent="0.3">
      <c r="A15" s="2" t="s">
        <v>200</v>
      </c>
      <c r="B15" s="2" t="s">
        <v>201</v>
      </c>
      <c r="C15" s="2" t="s">
        <v>202</v>
      </c>
      <c r="D15" s="2" t="s">
        <v>155</v>
      </c>
      <c r="E15" s="2" t="s">
        <v>178</v>
      </c>
      <c r="F15" s="2"/>
      <c r="G15" s="2" t="s">
        <v>203</v>
      </c>
      <c r="H15" s="2" t="s">
        <v>170</v>
      </c>
      <c r="I15" s="2" t="s">
        <v>195</v>
      </c>
      <c r="J15" s="2" t="s">
        <v>81</v>
      </c>
      <c r="K15" s="2" t="s">
        <v>160</v>
      </c>
      <c r="L15" s="2" t="s">
        <v>180</v>
      </c>
      <c r="M15" s="2" t="s">
        <v>181</v>
      </c>
      <c r="N15" s="2" t="s">
        <v>68</v>
      </c>
      <c r="O15" s="2" t="s">
        <v>182</v>
      </c>
      <c r="P15" s="2" t="s">
        <v>204</v>
      </c>
      <c r="Q15" s="3" t="s">
        <v>184</v>
      </c>
      <c r="R15" s="3">
        <v>46268</v>
      </c>
      <c r="S15" s="3"/>
      <c r="T15" s="3"/>
      <c r="U15" s="2" t="s">
        <v>51</v>
      </c>
      <c r="V15" s="2" t="s">
        <v>185</v>
      </c>
      <c r="W15" s="2">
        <f t="shared" ca="1" si="0"/>
        <v>15</v>
      </c>
      <c r="X15" s="2" t="s">
        <v>52</v>
      </c>
      <c r="Y15" s="2"/>
      <c r="Z15" s="2"/>
      <c r="AA15" s="2" t="s">
        <v>186</v>
      </c>
      <c r="AB15" s="2" t="s">
        <v>54</v>
      </c>
      <c r="AC15" s="2" t="s">
        <v>55</v>
      </c>
      <c r="AD15" s="2" t="s">
        <v>205</v>
      </c>
      <c r="AE15" s="2" t="s">
        <v>206</v>
      </c>
      <c r="AF15" s="2"/>
      <c r="AG15" s="2" t="s">
        <v>189</v>
      </c>
      <c r="AH15" s="2" t="s">
        <v>190</v>
      </c>
      <c r="AI15" s="2"/>
      <c r="AJ15" s="2"/>
      <c r="AK15" s="2"/>
    </row>
    <row r="16" spans="1:37" ht="43.2" hidden="1" x14ac:dyDescent="0.3">
      <c r="A16" s="2" t="s">
        <v>207</v>
      </c>
      <c r="B16" s="2" t="s">
        <v>208</v>
      </c>
      <c r="C16" s="2" t="s">
        <v>209</v>
      </c>
      <c r="D16" s="2" t="s">
        <v>155</v>
      </c>
      <c r="E16" s="2" t="s">
        <v>178</v>
      </c>
      <c r="F16" s="2"/>
      <c r="G16" s="2" t="s">
        <v>210</v>
      </c>
      <c r="H16" s="2" t="s">
        <v>170</v>
      </c>
      <c r="I16" s="2" t="s">
        <v>195</v>
      </c>
      <c r="J16" s="2" t="s">
        <v>81</v>
      </c>
      <c r="K16" s="2" t="s">
        <v>160</v>
      </c>
      <c r="L16" s="2" t="s">
        <v>47</v>
      </c>
      <c r="M16" s="2" t="s">
        <v>48</v>
      </c>
      <c r="N16" s="2" t="s">
        <v>81</v>
      </c>
      <c r="O16" s="2" t="s">
        <v>49</v>
      </c>
      <c r="P16" s="2" t="s">
        <v>50</v>
      </c>
      <c r="Q16" s="3"/>
      <c r="R16" s="3">
        <v>46268</v>
      </c>
      <c r="S16" s="3"/>
      <c r="T16" s="3"/>
      <c r="U16" s="2" t="s">
        <v>82</v>
      </c>
      <c r="V16" s="2" t="s">
        <v>49</v>
      </c>
      <c r="W16" s="2">
        <f t="shared" ca="1" si="0"/>
        <v>15</v>
      </c>
      <c r="X16" s="2" t="s">
        <v>52</v>
      </c>
      <c r="Y16" s="2"/>
      <c r="Z16" s="2"/>
      <c r="AA16" s="2" t="s">
        <v>186</v>
      </c>
      <c r="AB16" s="2" t="s">
        <v>54</v>
      </c>
      <c r="AC16" s="2" t="s">
        <v>55</v>
      </c>
      <c r="AD16" s="2" t="s">
        <v>211</v>
      </c>
      <c r="AE16" s="2" t="s">
        <v>212</v>
      </c>
      <c r="AF16" s="2" t="s">
        <v>213</v>
      </c>
      <c r="AG16" s="2" t="s">
        <v>88</v>
      </c>
      <c r="AH16" s="2" t="s">
        <v>214</v>
      </c>
      <c r="AI16" s="2"/>
      <c r="AJ16" s="2" t="s">
        <v>108</v>
      </c>
      <c r="AK16" s="2"/>
    </row>
    <row r="17" spans="1:37" ht="43.2" hidden="1" x14ac:dyDescent="0.3">
      <c r="A17" s="2" t="s">
        <v>215</v>
      </c>
      <c r="B17" s="2" t="s">
        <v>216</v>
      </c>
      <c r="C17" s="2" t="s">
        <v>217</v>
      </c>
      <c r="D17" s="2" t="s">
        <v>155</v>
      </c>
      <c r="E17" s="2" t="s">
        <v>178</v>
      </c>
      <c r="F17" s="2"/>
      <c r="G17" s="2" t="s">
        <v>218</v>
      </c>
      <c r="H17" s="2" t="s">
        <v>170</v>
      </c>
      <c r="I17" s="2" t="s">
        <v>195</v>
      </c>
      <c r="J17" s="2" t="s">
        <v>81</v>
      </c>
      <c r="K17" s="2" t="s">
        <v>160</v>
      </c>
      <c r="L17" s="2" t="s">
        <v>47</v>
      </c>
      <c r="M17" s="2" t="s">
        <v>48</v>
      </c>
      <c r="N17" s="2" t="s">
        <v>81</v>
      </c>
      <c r="O17" s="2" t="s">
        <v>49</v>
      </c>
      <c r="P17" s="2" t="s">
        <v>50</v>
      </c>
      <c r="Q17" s="3"/>
      <c r="R17" s="3">
        <v>46268</v>
      </c>
      <c r="S17" s="3"/>
      <c r="T17" s="3"/>
      <c r="U17" s="2" t="s">
        <v>82</v>
      </c>
      <c r="V17" s="2" t="s">
        <v>49</v>
      </c>
      <c r="W17" s="2">
        <f t="shared" ca="1" si="0"/>
        <v>15</v>
      </c>
      <c r="X17" s="2" t="s">
        <v>52</v>
      </c>
      <c r="Y17" s="2"/>
      <c r="Z17" s="2"/>
      <c r="AA17" s="2" t="s">
        <v>186</v>
      </c>
      <c r="AB17" s="2" t="s">
        <v>54</v>
      </c>
      <c r="AC17" s="2" t="s">
        <v>55</v>
      </c>
      <c r="AD17" s="2" t="s">
        <v>219</v>
      </c>
      <c r="AE17" s="2" t="s">
        <v>212</v>
      </c>
      <c r="AF17" s="2" t="s">
        <v>220</v>
      </c>
      <c r="AG17" s="2" t="s">
        <v>88</v>
      </c>
      <c r="AH17" s="2" t="s">
        <v>221</v>
      </c>
      <c r="AI17" s="2"/>
      <c r="AJ17" s="2" t="s">
        <v>108</v>
      </c>
      <c r="AK17" s="2"/>
    </row>
    <row r="18" spans="1:37" ht="72" hidden="1" x14ac:dyDescent="0.3">
      <c r="A18" s="2" t="s">
        <v>222</v>
      </c>
      <c r="B18" s="2" t="s">
        <v>223</v>
      </c>
      <c r="C18" s="2" t="s">
        <v>224</v>
      </c>
      <c r="D18" s="2" t="s">
        <v>155</v>
      </c>
      <c r="E18" s="2" t="s">
        <v>178</v>
      </c>
      <c r="F18" s="2"/>
      <c r="G18" s="2" t="s">
        <v>225</v>
      </c>
      <c r="H18" s="2" t="s">
        <v>170</v>
      </c>
      <c r="I18" s="2" t="s">
        <v>195</v>
      </c>
      <c r="J18" s="2" t="s">
        <v>45</v>
      </c>
      <c r="K18" s="2" t="s">
        <v>160</v>
      </c>
      <c r="L18" s="2" t="s">
        <v>47</v>
      </c>
      <c r="M18" s="2" t="s">
        <v>48</v>
      </c>
      <c r="N18" s="2" t="s">
        <v>45</v>
      </c>
      <c r="O18" s="2" t="s">
        <v>49</v>
      </c>
      <c r="P18" s="2" t="s">
        <v>50</v>
      </c>
      <c r="Q18" s="3"/>
      <c r="R18" s="3">
        <v>46268</v>
      </c>
      <c r="S18" s="3"/>
      <c r="T18" s="3"/>
      <c r="U18" s="2" t="s">
        <v>82</v>
      </c>
      <c r="V18" s="2" t="s">
        <v>49</v>
      </c>
      <c r="W18" s="2">
        <f t="shared" ca="1" si="0"/>
        <v>15</v>
      </c>
      <c r="X18" s="2" t="s">
        <v>52</v>
      </c>
      <c r="Y18" s="2"/>
      <c r="Z18" s="2"/>
      <c r="AA18" s="2" t="s">
        <v>186</v>
      </c>
      <c r="AB18" s="2" t="s">
        <v>54</v>
      </c>
      <c r="AC18" s="2" t="s">
        <v>226</v>
      </c>
      <c r="AD18" s="2" t="s">
        <v>227</v>
      </c>
      <c r="AE18" s="2" t="s">
        <v>228</v>
      </c>
      <c r="AF18" s="2" t="s">
        <v>229</v>
      </c>
      <c r="AG18" s="2" t="s">
        <v>88</v>
      </c>
      <c r="AH18" s="2" t="s">
        <v>230</v>
      </c>
      <c r="AI18" s="2"/>
      <c r="AJ18" s="2" t="s">
        <v>108</v>
      </c>
      <c r="AK18" s="2"/>
    </row>
    <row r="19" spans="1:37" ht="72" hidden="1" x14ac:dyDescent="0.3">
      <c r="A19" s="2" t="s">
        <v>231</v>
      </c>
      <c r="B19" s="2" t="s">
        <v>223</v>
      </c>
      <c r="C19" s="2" t="s">
        <v>232</v>
      </c>
      <c r="D19" s="2" t="s">
        <v>155</v>
      </c>
      <c r="E19" s="2" t="s">
        <v>178</v>
      </c>
      <c r="F19" s="2"/>
      <c r="G19" s="2" t="s">
        <v>233</v>
      </c>
      <c r="H19" s="2" t="s">
        <v>170</v>
      </c>
      <c r="I19" s="2" t="s">
        <v>195</v>
      </c>
      <c r="J19" s="2" t="s">
        <v>81</v>
      </c>
      <c r="K19" s="2" t="s">
        <v>160</v>
      </c>
      <c r="L19" s="2" t="s">
        <v>47</v>
      </c>
      <c r="M19" s="2" t="s">
        <v>48</v>
      </c>
      <c r="N19" s="2" t="s">
        <v>81</v>
      </c>
      <c r="O19" s="2" t="s">
        <v>49</v>
      </c>
      <c r="P19" s="2" t="s">
        <v>50</v>
      </c>
      <c r="Q19" s="3"/>
      <c r="R19" s="3">
        <v>46268</v>
      </c>
      <c r="S19" s="3"/>
      <c r="T19" s="3"/>
      <c r="U19" s="2" t="s">
        <v>82</v>
      </c>
      <c r="V19" s="2" t="s">
        <v>49</v>
      </c>
      <c r="W19" s="2">
        <f t="shared" ca="1" si="0"/>
        <v>15</v>
      </c>
      <c r="X19" s="2" t="s">
        <v>52</v>
      </c>
      <c r="Y19" s="2"/>
      <c r="Z19" s="2"/>
      <c r="AA19" s="2" t="s">
        <v>186</v>
      </c>
      <c r="AB19" s="2" t="s">
        <v>54</v>
      </c>
      <c r="AC19" s="2" t="s">
        <v>55</v>
      </c>
      <c r="AD19" s="2" t="s">
        <v>234</v>
      </c>
      <c r="AE19" s="2" t="s">
        <v>235</v>
      </c>
      <c r="AF19" s="2" t="s">
        <v>236</v>
      </c>
      <c r="AG19" s="2" t="s">
        <v>88</v>
      </c>
      <c r="AH19" s="2" t="s">
        <v>237</v>
      </c>
      <c r="AI19" s="2"/>
      <c r="AJ19" s="2" t="s">
        <v>108</v>
      </c>
      <c r="AK19" s="2" t="s">
        <v>238</v>
      </c>
    </row>
    <row r="20" spans="1:37" ht="57.6" hidden="1" x14ac:dyDescent="0.3">
      <c r="A20" s="2" t="s">
        <v>239</v>
      </c>
      <c r="B20" s="2" t="s">
        <v>240</v>
      </c>
      <c r="C20" s="2" t="s">
        <v>241</v>
      </c>
      <c r="D20" s="2" t="s">
        <v>155</v>
      </c>
      <c r="E20" s="2" t="s">
        <v>242</v>
      </c>
      <c r="F20" s="2"/>
      <c r="G20" s="2" t="s">
        <v>243</v>
      </c>
      <c r="H20" s="2" t="s">
        <v>170</v>
      </c>
      <c r="I20" s="2" t="s">
        <v>244</v>
      </c>
      <c r="J20" s="2" t="s">
        <v>81</v>
      </c>
      <c r="K20" s="2" t="s">
        <v>160</v>
      </c>
      <c r="L20" s="2" t="s">
        <v>47</v>
      </c>
      <c r="M20" s="2" t="s">
        <v>48</v>
      </c>
      <c r="N20" s="2" t="s">
        <v>81</v>
      </c>
      <c r="O20" s="2" t="s">
        <v>49</v>
      </c>
      <c r="P20" s="2" t="s">
        <v>50</v>
      </c>
      <c r="Q20" s="3"/>
      <c r="R20" s="3"/>
      <c r="S20" s="3"/>
      <c r="T20" s="3"/>
      <c r="U20" s="2" t="s">
        <v>82</v>
      </c>
      <c r="V20" s="2" t="s">
        <v>49</v>
      </c>
      <c r="W20" s="2" t="str">
        <f t="shared" ca="1" si="0"/>
        <v/>
      </c>
      <c r="X20" s="2" t="s">
        <v>52</v>
      </c>
      <c r="Y20" s="2"/>
      <c r="Z20" s="2"/>
      <c r="AA20" s="2" t="s">
        <v>84</v>
      </c>
      <c r="AB20" s="2" t="s">
        <v>54</v>
      </c>
      <c r="AC20" s="2" t="s">
        <v>55</v>
      </c>
      <c r="AD20" s="2" t="s">
        <v>245</v>
      </c>
      <c r="AE20" s="2" t="s">
        <v>246</v>
      </c>
      <c r="AF20" s="2" t="s">
        <v>247</v>
      </c>
      <c r="AG20" s="2" t="s">
        <v>248</v>
      </c>
      <c r="AH20" s="2" t="s">
        <v>249</v>
      </c>
      <c r="AI20" s="2"/>
      <c r="AJ20" s="2"/>
      <c r="AK20" s="2"/>
    </row>
    <row r="21" spans="1:37" ht="43.2" hidden="1" x14ac:dyDescent="0.3">
      <c r="A21" s="2" t="s">
        <v>250</v>
      </c>
      <c r="B21" s="2" t="s">
        <v>251</v>
      </c>
      <c r="C21" s="2" t="s">
        <v>252</v>
      </c>
      <c r="D21" s="2" t="s">
        <v>155</v>
      </c>
      <c r="E21" s="2" t="s">
        <v>242</v>
      </c>
      <c r="F21" s="2"/>
      <c r="G21" s="2" t="s">
        <v>253</v>
      </c>
      <c r="H21" s="2" t="s">
        <v>170</v>
      </c>
      <c r="I21" s="2" t="s">
        <v>244</v>
      </c>
      <c r="J21" s="2" t="s">
        <v>81</v>
      </c>
      <c r="K21" s="2" t="s">
        <v>160</v>
      </c>
      <c r="L21" s="2" t="s">
        <v>47</v>
      </c>
      <c r="M21" s="2" t="s">
        <v>48</v>
      </c>
      <c r="N21" s="2" t="s">
        <v>81</v>
      </c>
      <c r="O21" s="2" t="s">
        <v>49</v>
      </c>
      <c r="P21" s="2" t="s">
        <v>50</v>
      </c>
      <c r="Q21" s="3"/>
      <c r="R21" s="3"/>
      <c r="S21" s="3"/>
      <c r="T21" s="3"/>
      <c r="U21" s="2" t="s">
        <v>82</v>
      </c>
      <c r="V21" s="2" t="s">
        <v>49</v>
      </c>
      <c r="W21" s="2" t="str">
        <f t="shared" ca="1" si="0"/>
        <v/>
      </c>
      <c r="X21" s="2" t="s">
        <v>52</v>
      </c>
      <c r="Y21" s="2"/>
      <c r="Z21" s="2"/>
      <c r="AA21" s="2" t="s">
        <v>84</v>
      </c>
      <c r="AB21" s="2" t="s">
        <v>54</v>
      </c>
      <c r="AC21" s="2" t="s">
        <v>55</v>
      </c>
      <c r="AD21" s="2" t="s">
        <v>254</v>
      </c>
      <c r="AE21" s="2" t="s">
        <v>255</v>
      </c>
      <c r="AF21" s="2" t="s">
        <v>256</v>
      </c>
      <c r="AG21" s="2" t="s">
        <v>257</v>
      </c>
      <c r="AH21" s="2" t="s">
        <v>258</v>
      </c>
      <c r="AI21" s="2"/>
      <c r="AJ21" s="2"/>
      <c r="AK21" s="2"/>
    </row>
    <row r="22" spans="1:37" ht="43.2" hidden="1" x14ac:dyDescent="0.3">
      <c r="A22" s="2" t="s">
        <v>259</v>
      </c>
      <c r="B22" s="2" t="s">
        <v>260</v>
      </c>
      <c r="C22" s="2" t="s">
        <v>261</v>
      </c>
      <c r="D22" s="2" t="s">
        <v>155</v>
      </c>
      <c r="E22" s="2" t="s">
        <v>242</v>
      </c>
      <c r="F22" s="2"/>
      <c r="G22" s="2" t="s">
        <v>262</v>
      </c>
      <c r="H22" s="2" t="s">
        <v>170</v>
      </c>
      <c r="I22" s="2" t="s">
        <v>244</v>
      </c>
      <c r="J22" s="2" t="s">
        <v>81</v>
      </c>
      <c r="K22" s="2" t="s">
        <v>160</v>
      </c>
      <c r="L22" s="2" t="s">
        <v>47</v>
      </c>
      <c r="M22" s="2" t="s">
        <v>48</v>
      </c>
      <c r="N22" s="2" t="s">
        <v>81</v>
      </c>
      <c r="O22" s="2" t="s">
        <v>49</v>
      </c>
      <c r="P22" s="2" t="s">
        <v>50</v>
      </c>
      <c r="Q22" s="3"/>
      <c r="R22" s="3"/>
      <c r="S22" s="3"/>
      <c r="T22" s="3"/>
      <c r="U22" s="2" t="s">
        <v>82</v>
      </c>
      <c r="V22" s="2" t="s">
        <v>49</v>
      </c>
      <c r="W22" s="2" t="str">
        <f t="shared" ca="1" si="0"/>
        <v/>
      </c>
      <c r="X22" s="2" t="s">
        <v>52</v>
      </c>
      <c r="Y22" s="2"/>
      <c r="Z22" s="2"/>
      <c r="AA22" s="2" t="s">
        <v>84</v>
      </c>
      <c r="AB22" s="2" t="s">
        <v>54</v>
      </c>
      <c r="AC22" s="2" t="s">
        <v>55</v>
      </c>
      <c r="AD22" s="2" t="s">
        <v>263</v>
      </c>
      <c r="AE22" s="2" t="s">
        <v>264</v>
      </c>
      <c r="AF22" s="2" t="s">
        <v>247</v>
      </c>
      <c r="AG22" s="2" t="s">
        <v>248</v>
      </c>
      <c r="AH22" s="2" t="s">
        <v>265</v>
      </c>
      <c r="AI22" s="2"/>
      <c r="AJ22" s="2"/>
      <c r="AK22" s="2"/>
    </row>
    <row r="23" spans="1:37" ht="57.6" hidden="1" x14ac:dyDescent="0.3">
      <c r="A23" s="2" t="s">
        <v>266</v>
      </c>
      <c r="B23" s="2" t="s">
        <v>267</v>
      </c>
      <c r="C23" s="2" t="s">
        <v>268</v>
      </c>
      <c r="D23" s="2" t="s">
        <v>155</v>
      </c>
      <c r="E23" s="2" t="s">
        <v>269</v>
      </c>
      <c r="F23" s="2"/>
      <c r="G23" s="2" t="s">
        <v>270</v>
      </c>
      <c r="H23" s="2" t="s">
        <v>170</v>
      </c>
      <c r="I23" s="2" t="s">
        <v>195</v>
      </c>
      <c r="J23" s="2" t="s">
        <v>81</v>
      </c>
      <c r="K23" s="2" t="s">
        <v>160</v>
      </c>
      <c r="L23" s="2" t="s">
        <v>47</v>
      </c>
      <c r="M23" s="2" t="s">
        <v>48</v>
      </c>
      <c r="N23" s="2" t="s">
        <v>45</v>
      </c>
      <c r="O23" s="2" t="s">
        <v>49</v>
      </c>
      <c r="P23" s="2" t="s">
        <v>50</v>
      </c>
      <c r="Q23" s="3"/>
      <c r="R23" s="3">
        <v>46268</v>
      </c>
      <c r="S23" s="3"/>
      <c r="T23" s="3"/>
      <c r="U23" s="2" t="s">
        <v>82</v>
      </c>
      <c r="V23" s="2" t="s">
        <v>49</v>
      </c>
      <c r="W23" s="2">
        <f t="shared" ca="1" si="0"/>
        <v>15</v>
      </c>
      <c r="X23" s="2" t="s">
        <v>52</v>
      </c>
      <c r="Y23" s="2"/>
      <c r="Z23" s="2"/>
      <c r="AA23" s="2" t="s">
        <v>186</v>
      </c>
      <c r="AB23" s="2" t="s">
        <v>54</v>
      </c>
      <c r="AC23" s="2" t="s">
        <v>55</v>
      </c>
      <c r="AD23" s="2" t="s">
        <v>271</v>
      </c>
      <c r="AE23" s="2" t="s">
        <v>272</v>
      </c>
      <c r="AF23" s="2" t="s">
        <v>273</v>
      </c>
      <c r="AG23" s="2" t="s">
        <v>72</v>
      </c>
      <c r="AH23" s="2" t="s">
        <v>274</v>
      </c>
      <c r="AI23" s="2"/>
      <c r="AJ23" s="2" t="s">
        <v>108</v>
      </c>
      <c r="AK23" s="2"/>
    </row>
    <row r="24" spans="1:37" ht="57.6" hidden="1" x14ac:dyDescent="0.3">
      <c r="A24" s="2" t="s">
        <v>275</v>
      </c>
      <c r="B24" s="2" t="s">
        <v>276</v>
      </c>
      <c r="C24" s="2" t="s">
        <v>277</v>
      </c>
      <c r="D24" s="2" t="s">
        <v>155</v>
      </c>
      <c r="E24" s="2" t="s">
        <v>269</v>
      </c>
      <c r="F24" s="2"/>
      <c r="G24" s="2" t="s">
        <v>278</v>
      </c>
      <c r="H24" s="2" t="s">
        <v>170</v>
      </c>
      <c r="I24" s="2" t="s">
        <v>195</v>
      </c>
      <c r="J24" s="2" t="s">
        <v>81</v>
      </c>
      <c r="K24" s="2" t="s">
        <v>160</v>
      </c>
      <c r="L24" s="2" t="s">
        <v>47</v>
      </c>
      <c r="M24" s="2" t="s">
        <v>48</v>
      </c>
      <c r="N24" s="2" t="s">
        <v>81</v>
      </c>
      <c r="O24" s="2" t="s">
        <v>49</v>
      </c>
      <c r="P24" s="2" t="s">
        <v>50</v>
      </c>
      <c r="Q24" s="3"/>
      <c r="R24" s="3">
        <v>46268</v>
      </c>
      <c r="S24" s="3"/>
      <c r="T24" s="3"/>
      <c r="U24" s="2" t="s">
        <v>82</v>
      </c>
      <c r="V24" s="2" t="s">
        <v>49</v>
      </c>
      <c r="W24" s="2">
        <f t="shared" ca="1" si="0"/>
        <v>15</v>
      </c>
      <c r="X24" s="2" t="s">
        <v>52</v>
      </c>
      <c r="Y24" s="2"/>
      <c r="Z24" s="2"/>
      <c r="AA24" s="2" t="s">
        <v>186</v>
      </c>
      <c r="AB24" s="2" t="s">
        <v>54</v>
      </c>
      <c r="AC24" s="2" t="s">
        <v>55</v>
      </c>
      <c r="AD24" s="2" t="s">
        <v>279</v>
      </c>
      <c r="AE24" s="2" t="s">
        <v>280</v>
      </c>
      <c r="AF24" s="2" t="s">
        <v>281</v>
      </c>
      <c r="AG24" s="2" t="s">
        <v>282</v>
      </c>
      <c r="AH24" s="2" t="s">
        <v>283</v>
      </c>
      <c r="AI24" s="2"/>
      <c r="AJ24" s="2" t="s">
        <v>108</v>
      </c>
      <c r="AK24" s="2"/>
    </row>
    <row r="25" spans="1:37" ht="86.4" hidden="1" x14ac:dyDescent="0.3">
      <c r="A25" s="2" t="s">
        <v>284</v>
      </c>
      <c r="B25" s="2" t="s">
        <v>285</v>
      </c>
      <c r="C25" s="2" t="s">
        <v>286</v>
      </c>
      <c r="D25" s="2" t="s">
        <v>155</v>
      </c>
      <c r="E25" s="2" t="s">
        <v>269</v>
      </c>
      <c r="F25" s="2"/>
      <c r="G25" s="2" t="s">
        <v>287</v>
      </c>
      <c r="H25" s="2" t="s">
        <v>170</v>
      </c>
      <c r="I25" s="2" t="s">
        <v>195</v>
      </c>
      <c r="J25" s="2" t="s">
        <v>81</v>
      </c>
      <c r="K25" s="2" t="s">
        <v>160</v>
      </c>
      <c r="L25" s="2" t="s">
        <v>47</v>
      </c>
      <c r="M25" s="2" t="s">
        <v>48</v>
      </c>
      <c r="N25" s="2" t="s">
        <v>68</v>
      </c>
      <c r="O25" s="2" t="s">
        <v>49</v>
      </c>
      <c r="P25" s="2" t="s">
        <v>50</v>
      </c>
      <c r="Q25" s="3"/>
      <c r="R25" s="3">
        <v>46268</v>
      </c>
      <c r="S25" s="3"/>
      <c r="T25" s="3"/>
      <c r="U25" s="2" t="s">
        <v>82</v>
      </c>
      <c r="V25" s="2" t="s">
        <v>49</v>
      </c>
      <c r="W25" s="2">
        <f t="shared" ca="1" si="0"/>
        <v>15</v>
      </c>
      <c r="X25" s="2" t="s">
        <v>52</v>
      </c>
      <c r="Y25" s="2"/>
      <c r="Z25" s="2"/>
      <c r="AA25" s="2" t="s">
        <v>186</v>
      </c>
      <c r="AB25" s="2" t="s">
        <v>54</v>
      </c>
      <c r="AC25" s="2" t="s">
        <v>55</v>
      </c>
      <c r="AD25" s="2" t="s">
        <v>288</v>
      </c>
      <c r="AE25" s="2" t="s">
        <v>289</v>
      </c>
      <c r="AF25" s="2" t="s">
        <v>290</v>
      </c>
      <c r="AG25" s="2" t="s">
        <v>150</v>
      </c>
      <c r="AH25" s="2" t="s">
        <v>291</v>
      </c>
      <c r="AI25" s="2"/>
      <c r="AJ25" s="2" t="s">
        <v>108</v>
      </c>
      <c r="AK25" s="2" t="s">
        <v>292</v>
      </c>
    </row>
    <row r="26" spans="1:37" ht="43.2" x14ac:dyDescent="0.3">
      <c r="A26" s="2" t="s">
        <v>293</v>
      </c>
      <c r="B26" s="2" t="s">
        <v>294</v>
      </c>
      <c r="C26" s="2" t="s">
        <v>295</v>
      </c>
      <c r="D26" s="2" t="s">
        <v>155</v>
      </c>
      <c r="E26" s="2" t="s">
        <v>269</v>
      </c>
      <c r="F26" s="2"/>
      <c r="G26" s="2" t="s">
        <v>296</v>
      </c>
      <c r="H26" s="2" t="s">
        <v>170</v>
      </c>
      <c r="I26" s="2" t="s">
        <v>195</v>
      </c>
      <c r="J26" s="2" t="s">
        <v>81</v>
      </c>
      <c r="K26" s="2" t="s">
        <v>160</v>
      </c>
      <c r="L26" s="2" t="s">
        <v>180</v>
      </c>
      <c r="M26" s="2" t="s">
        <v>181</v>
      </c>
      <c r="N26" s="2" t="s">
        <v>68</v>
      </c>
      <c r="O26" s="2" t="s">
        <v>182</v>
      </c>
      <c r="P26" s="2" t="s">
        <v>50</v>
      </c>
      <c r="Q26" s="3"/>
      <c r="R26" s="3">
        <v>46268</v>
      </c>
      <c r="S26" s="3"/>
      <c r="T26" s="3"/>
      <c r="U26" s="2" t="s">
        <v>82</v>
      </c>
      <c r="V26" s="2" t="s">
        <v>185</v>
      </c>
      <c r="W26" s="2">
        <f t="shared" ca="1" si="0"/>
        <v>15</v>
      </c>
      <c r="X26" s="2" t="s">
        <v>52</v>
      </c>
      <c r="Y26" s="2"/>
      <c r="Z26" s="2"/>
      <c r="AA26" s="2" t="s">
        <v>186</v>
      </c>
      <c r="AB26" s="2" t="s">
        <v>54</v>
      </c>
      <c r="AC26" s="2" t="s">
        <v>55</v>
      </c>
      <c r="AD26" s="2" t="s">
        <v>297</v>
      </c>
      <c r="AE26" s="2" t="s">
        <v>298</v>
      </c>
      <c r="AF26" s="2"/>
      <c r="AG26" s="2" t="s">
        <v>189</v>
      </c>
      <c r="AH26" s="2" t="s">
        <v>190</v>
      </c>
      <c r="AI26" s="2"/>
      <c r="AJ26" s="2"/>
      <c r="AK26" s="2"/>
    </row>
    <row r="27" spans="1:37" ht="57.6" hidden="1" x14ac:dyDescent="0.3">
      <c r="A27" s="2" t="s">
        <v>299</v>
      </c>
      <c r="B27" s="2" t="s">
        <v>300</v>
      </c>
      <c r="C27" s="2" t="s">
        <v>301</v>
      </c>
      <c r="D27" s="2" t="s">
        <v>155</v>
      </c>
      <c r="E27" s="2" t="s">
        <v>269</v>
      </c>
      <c r="F27" s="2"/>
      <c r="G27" s="2" t="s">
        <v>302</v>
      </c>
      <c r="H27" s="2" t="s">
        <v>170</v>
      </c>
      <c r="I27" s="2" t="s">
        <v>195</v>
      </c>
      <c r="J27" s="2" t="s">
        <v>45</v>
      </c>
      <c r="K27" s="2" t="s">
        <v>160</v>
      </c>
      <c r="L27" s="2" t="s">
        <v>47</v>
      </c>
      <c r="M27" s="2" t="s">
        <v>48</v>
      </c>
      <c r="N27" s="2" t="s">
        <v>45</v>
      </c>
      <c r="O27" s="2" t="s">
        <v>49</v>
      </c>
      <c r="P27" s="2" t="s">
        <v>50</v>
      </c>
      <c r="Q27" s="3"/>
      <c r="R27" s="3">
        <v>46268</v>
      </c>
      <c r="S27" s="3"/>
      <c r="T27" s="3"/>
      <c r="U27" s="2" t="s">
        <v>82</v>
      </c>
      <c r="V27" s="2" t="s">
        <v>49</v>
      </c>
      <c r="W27" s="2">
        <f t="shared" ca="1" si="0"/>
        <v>15</v>
      </c>
      <c r="X27" s="2" t="s">
        <v>52</v>
      </c>
      <c r="Y27" s="2"/>
      <c r="Z27" s="2"/>
      <c r="AA27" s="2" t="s">
        <v>186</v>
      </c>
      <c r="AB27" s="2" t="s">
        <v>54</v>
      </c>
      <c r="AC27" s="2" t="s">
        <v>55</v>
      </c>
      <c r="AD27" s="2" t="s">
        <v>303</v>
      </c>
      <c r="AE27" s="2" t="s">
        <v>304</v>
      </c>
      <c r="AF27" s="2" t="s">
        <v>305</v>
      </c>
      <c r="AG27" s="2" t="s">
        <v>306</v>
      </c>
      <c r="AH27" s="2" t="s">
        <v>307</v>
      </c>
      <c r="AI27" s="2"/>
      <c r="AJ27" s="2" t="s">
        <v>108</v>
      </c>
      <c r="AK27" s="2"/>
    </row>
    <row r="28" spans="1:37" ht="57.6" hidden="1" x14ac:dyDescent="0.3">
      <c r="A28" s="2" t="s">
        <v>308</v>
      </c>
      <c r="B28" s="2" t="s">
        <v>309</v>
      </c>
      <c r="C28" s="2" t="s">
        <v>310</v>
      </c>
      <c r="D28" s="2" t="s">
        <v>155</v>
      </c>
      <c r="E28" s="2" t="s">
        <v>269</v>
      </c>
      <c r="F28" s="2"/>
      <c r="G28" s="2" t="s">
        <v>311</v>
      </c>
      <c r="H28" s="2" t="s">
        <v>170</v>
      </c>
      <c r="I28" s="2" t="s">
        <v>195</v>
      </c>
      <c r="J28" s="2" t="s">
        <v>81</v>
      </c>
      <c r="K28" s="2" t="s">
        <v>160</v>
      </c>
      <c r="L28" s="2" t="s">
        <v>47</v>
      </c>
      <c r="M28" s="2" t="s">
        <v>48</v>
      </c>
      <c r="N28" s="2" t="s">
        <v>81</v>
      </c>
      <c r="O28" s="2" t="s">
        <v>49</v>
      </c>
      <c r="P28" s="2" t="s">
        <v>50</v>
      </c>
      <c r="Q28" s="3"/>
      <c r="R28" s="3">
        <v>46268</v>
      </c>
      <c r="S28" s="3"/>
      <c r="T28" s="3"/>
      <c r="U28" s="2" t="s">
        <v>82</v>
      </c>
      <c r="V28" s="2" t="s">
        <v>49</v>
      </c>
      <c r="W28" s="2">
        <f t="shared" ca="1" si="0"/>
        <v>15</v>
      </c>
      <c r="X28" s="2" t="s">
        <v>52</v>
      </c>
      <c r="Y28" s="2"/>
      <c r="Z28" s="2"/>
      <c r="AA28" s="2" t="s">
        <v>186</v>
      </c>
      <c r="AB28" s="2" t="s">
        <v>54</v>
      </c>
      <c r="AC28" s="2" t="s">
        <v>55</v>
      </c>
      <c r="AD28" s="2" t="s">
        <v>312</v>
      </c>
      <c r="AE28" s="2" t="s">
        <v>313</v>
      </c>
      <c r="AF28" s="2" t="s">
        <v>314</v>
      </c>
      <c r="AG28" s="2" t="s">
        <v>315</v>
      </c>
      <c r="AH28" s="2" t="s">
        <v>316</v>
      </c>
      <c r="AI28" s="2"/>
      <c r="AJ28" s="2" t="s">
        <v>108</v>
      </c>
      <c r="AK28" s="2"/>
    </row>
    <row r="29" spans="1:37" ht="43.2" hidden="1" x14ac:dyDescent="0.3">
      <c r="A29" s="2" t="s">
        <v>317</v>
      </c>
      <c r="B29" s="2" t="s">
        <v>318</v>
      </c>
      <c r="C29" s="2" t="s">
        <v>319</v>
      </c>
      <c r="D29" s="2" t="s">
        <v>155</v>
      </c>
      <c r="E29" s="2" t="s">
        <v>320</v>
      </c>
      <c r="F29" s="2"/>
      <c r="G29" s="2" t="s">
        <v>321</v>
      </c>
      <c r="H29" s="2" t="s">
        <v>170</v>
      </c>
      <c r="I29" s="2" t="s">
        <v>123</v>
      </c>
      <c r="J29" s="2" t="s">
        <v>81</v>
      </c>
      <c r="K29" s="2" t="s">
        <v>160</v>
      </c>
      <c r="L29" s="2" t="s">
        <v>47</v>
      </c>
      <c r="M29" s="2" t="s">
        <v>48</v>
      </c>
      <c r="N29" s="2" t="s">
        <v>81</v>
      </c>
      <c r="O29" s="2" t="s">
        <v>49</v>
      </c>
      <c r="P29" s="2" t="s">
        <v>50</v>
      </c>
      <c r="Q29" s="3"/>
      <c r="R29" s="3">
        <v>46268</v>
      </c>
      <c r="S29" s="3"/>
      <c r="T29" s="3"/>
      <c r="U29" s="2" t="s">
        <v>82</v>
      </c>
      <c r="V29" s="2" t="s">
        <v>49</v>
      </c>
      <c r="W29" s="2">
        <f t="shared" ca="1" si="0"/>
        <v>15</v>
      </c>
      <c r="X29" s="2" t="s">
        <v>83</v>
      </c>
      <c r="Y29" s="2"/>
      <c r="Z29" s="2"/>
      <c r="AA29" s="2" t="s">
        <v>102</v>
      </c>
      <c r="AB29" s="2" t="s">
        <v>54</v>
      </c>
      <c r="AC29" s="2" t="s">
        <v>55</v>
      </c>
      <c r="AD29" s="2" t="s">
        <v>322</v>
      </c>
      <c r="AE29" s="2" t="s">
        <v>323</v>
      </c>
      <c r="AF29" s="2" t="s">
        <v>324</v>
      </c>
      <c r="AG29" s="2" t="s">
        <v>325</v>
      </c>
      <c r="AH29" s="2" t="s">
        <v>326</v>
      </c>
      <c r="AI29" s="2"/>
      <c r="AJ29" s="2" t="s">
        <v>108</v>
      </c>
      <c r="AK29" s="2"/>
    </row>
    <row r="30" spans="1:37" ht="43.2" hidden="1" x14ac:dyDescent="0.3">
      <c r="A30" s="2" t="s">
        <v>327</v>
      </c>
      <c r="B30" s="2" t="s">
        <v>328</v>
      </c>
      <c r="C30" s="2" t="s">
        <v>329</v>
      </c>
      <c r="D30" s="2" t="s">
        <v>155</v>
      </c>
      <c r="E30" s="2" t="s">
        <v>320</v>
      </c>
      <c r="F30" s="2"/>
      <c r="G30" s="2" t="s">
        <v>330</v>
      </c>
      <c r="H30" s="2" t="s">
        <v>170</v>
      </c>
      <c r="I30" s="2" t="s">
        <v>123</v>
      </c>
      <c r="J30" s="2" t="s">
        <v>81</v>
      </c>
      <c r="K30" s="2" t="s">
        <v>160</v>
      </c>
      <c r="L30" s="2" t="s">
        <v>47</v>
      </c>
      <c r="M30" s="2" t="s">
        <v>48</v>
      </c>
      <c r="N30" s="2" t="s">
        <v>81</v>
      </c>
      <c r="O30" s="2" t="s">
        <v>49</v>
      </c>
      <c r="P30" s="2" t="s">
        <v>50</v>
      </c>
      <c r="Q30" s="3"/>
      <c r="R30" s="3">
        <v>46268</v>
      </c>
      <c r="S30" s="3"/>
      <c r="T30" s="3"/>
      <c r="U30" s="2" t="s">
        <v>82</v>
      </c>
      <c r="V30" s="2" t="s">
        <v>49</v>
      </c>
      <c r="W30" s="2">
        <f t="shared" ca="1" si="0"/>
        <v>15</v>
      </c>
      <c r="X30" s="2" t="s">
        <v>83</v>
      </c>
      <c r="Y30" s="2"/>
      <c r="Z30" s="2"/>
      <c r="AA30" s="2" t="s">
        <v>102</v>
      </c>
      <c r="AB30" s="2" t="s">
        <v>54</v>
      </c>
      <c r="AC30" s="2" t="s">
        <v>55</v>
      </c>
      <c r="AD30" s="2" t="s">
        <v>331</v>
      </c>
      <c r="AE30" s="2" t="s">
        <v>332</v>
      </c>
      <c r="AF30" s="2" t="s">
        <v>333</v>
      </c>
      <c r="AG30" s="2" t="s">
        <v>150</v>
      </c>
      <c r="AH30" s="2" t="s">
        <v>334</v>
      </c>
      <c r="AI30" s="2"/>
      <c r="AJ30" s="2" t="s">
        <v>108</v>
      </c>
      <c r="AK30" s="2"/>
    </row>
    <row r="31" spans="1:37" ht="43.2" hidden="1" x14ac:dyDescent="0.3">
      <c r="A31" s="2" t="s">
        <v>335</v>
      </c>
      <c r="B31" s="2" t="s">
        <v>336</v>
      </c>
      <c r="C31" s="2" t="s">
        <v>337</v>
      </c>
      <c r="D31" s="2" t="s">
        <v>155</v>
      </c>
      <c r="E31" s="2" t="s">
        <v>320</v>
      </c>
      <c r="F31" s="2"/>
      <c r="G31" s="2" t="s">
        <v>338</v>
      </c>
      <c r="H31" s="2" t="s">
        <v>170</v>
      </c>
      <c r="I31" s="2" t="s">
        <v>123</v>
      </c>
      <c r="J31" s="2" t="s">
        <v>81</v>
      </c>
      <c r="K31" s="2" t="s">
        <v>160</v>
      </c>
      <c r="L31" s="2" t="s">
        <v>47</v>
      </c>
      <c r="M31" s="2" t="s">
        <v>48</v>
      </c>
      <c r="N31" s="2" t="s">
        <v>81</v>
      </c>
      <c r="O31" s="2" t="s">
        <v>49</v>
      </c>
      <c r="P31" s="2" t="s">
        <v>50</v>
      </c>
      <c r="Q31" s="3"/>
      <c r="R31" s="3">
        <v>46268</v>
      </c>
      <c r="S31" s="3"/>
      <c r="T31" s="3"/>
      <c r="U31" s="2" t="s">
        <v>82</v>
      </c>
      <c r="V31" s="2" t="s">
        <v>49</v>
      </c>
      <c r="W31" s="2">
        <f t="shared" ca="1" si="0"/>
        <v>15</v>
      </c>
      <c r="X31" s="2" t="s">
        <v>83</v>
      </c>
      <c r="Y31" s="2"/>
      <c r="Z31" s="2"/>
      <c r="AA31" s="2" t="s">
        <v>102</v>
      </c>
      <c r="AB31" s="2" t="s">
        <v>54</v>
      </c>
      <c r="AC31" s="2" t="s">
        <v>55</v>
      </c>
      <c r="AD31" s="2" t="s">
        <v>339</v>
      </c>
      <c r="AE31" s="2" t="s">
        <v>340</v>
      </c>
      <c r="AF31" s="2" t="s">
        <v>341</v>
      </c>
      <c r="AG31" s="2" t="s">
        <v>342</v>
      </c>
      <c r="AH31" s="2" t="s">
        <v>343</v>
      </c>
      <c r="AI31" s="2"/>
      <c r="AJ31" s="2" t="s">
        <v>108</v>
      </c>
      <c r="AK31" s="2"/>
    </row>
    <row r="32" spans="1:37" ht="43.2" hidden="1" x14ac:dyDescent="0.3">
      <c r="A32" s="2" t="s">
        <v>344</v>
      </c>
      <c r="B32" s="2" t="s">
        <v>345</v>
      </c>
      <c r="C32" s="2" t="s">
        <v>346</v>
      </c>
      <c r="D32" s="2" t="s">
        <v>155</v>
      </c>
      <c r="E32" s="2" t="s">
        <v>347</v>
      </c>
      <c r="F32" s="2"/>
      <c r="G32" s="2" t="s">
        <v>348</v>
      </c>
      <c r="H32" s="2" t="s">
        <v>170</v>
      </c>
      <c r="I32" s="2" t="s">
        <v>145</v>
      </c>
      <c r="J32" s="2" t="s">
        <v>81</v>
      </c>
      <c r="K32" s="2" t="s">
        <v>160</v>
      </c>
      <c r="L32" s="2" t="s">
        <v>47</v>
      </c>
      <c r="M32" s="2" t="s">
        <v>48</v>
      </c>
      <c r="N32" s="2" t="s">
        <v>81</v>
      </c>
      <c r="O32" s="2" t="s">
        <v>49</v>
      </c>
      <c r="P32" s="2" t="s">
        <v>50</v>
      </c>
      <c r="Q32" s="3"/>
      <c r="R32" s="3"/>
      <c r="S32" s="3"/>
      <c r="T32" s="3"/>
      <c r="U32" s="2" t="s">
        <v>82</v>
      </c>
      <c r="V32" s="2" t="s">
        <v>49</v>
      </c>
      <c r="W32" s="2" t="str">
        <f t="shared" ca="1" si="0"/>
        <v/>
      </c>
      <c r="X32" s="2" t="s">
        <v>52</v>
      </c>
      <c r="Y32" s="2"/>
      <c r="Z32" s="2"/>
      <c r="AA32" s="2" t="s">
        <v>84</v>
      </c>
      <c r="AB32" s="2" t="s">
        <v>54</v>
      </c>
      <c r="AC32" s="2" t="s">
        <v>55</v>
      </c>
      <c r="AD32" s="2" t="s">
        <v>349</v>
      </c>
      <c r="AE32" s="2" t="s">
        <v>350</v>
      </c>
      <c r="AF32" s="2" t="s">
        <v>351</v>
      </c>
      <c r="AG32" s="2" t="s">
        <v>150</v>
      </c>
      <c r="AH32" s="2" t="s">
        <v>352</v>
      </c>
      <c r="AI32" s="2"/>
      <c r="AJ32" s="2"/>
      <c r="AK32" s="2"/>
    </row>
    <row r="33" spans="1:37" ht="43.2" hidden="1" x14ac:dyDescent="0.3">
      <c r="A33" s="2" t="s">
        <v>353</v>
      </c>
      <c r="B33" s="2" t="s">
        <v>354</v>
      </c>
      <c r="C33" s="2" t="s">
        <v>355</v>
      </c>
      <c r="D33" s="2" t="s">
        <v>155</v>
      </c>
      <c r="E33" s="2" t="s">
        <v>347</v>
      </c>
      <c r="F33" s="2"/>
      <c r="G33" s="2" t="s">
        <v>356</v>
      </c>
      <c r="H33" s="2" t="s">
        <v>170</v>
      </c>
      <c r="I33" s="2" t="s">
        <v>145</v>
      </c>
      <c r="J33" s="2" t="s">
        <v>81</v>
      </c>
      <c r="K33" s="2" t="s">
        <v>160</v>
      </c>
      <c r="L33" s="2" t="s">
        <v>47</v>
      </c>
      <c r="M33" s="2" t="s">
        <v>48</v>
      </c>
      <c r="N33" s="2" t="s">
        <v>81</v>
      </c>
      <c r="O33" s="2" t="s">
        <v>49</v>
      </c>
      <c r="P33" s="2" t="s">
        <v>50</v>
      </c>
      <c r="Q33" s="3"/>
      <c r="R33" s="3"/>
      <c r="S33" s="3"/>
      <c r="T33" s="3"/>
      <c r="U33" s="2" t="s">
        <v>82</v>
      </c>
      <c r="V33" s="2" t="s">
        <v>49</v>
      </c>
      <c r="W33" s="2" t="str">
        <f t="shared" ca="1" si="0"/>
        <v/>
      </c>
      <c r="X33" s="2" t="s">
        <v>52</v>
      </c>
      <c r="Y33" s="2"/>
      <c r="Z33" s="2"/>
      <c r="AA33" s="2" t="s">
        <v>84</v>
      </c>
      <c r="AB33" s="2" t="s">
        <v>54</v>
      </c>
      <c r="AC33" s="2" t="s">
        <v>55</v>
      </c>
      <c r="AD33" s="2" t="s">
        <v>357</v>
      </c>
      <c r="AE33" s="2" t="s">
        <v>358</v>
      </c>
      <c r="AF33" s="2" t="s">
        <v>359</v>
      </c>
      <c r="AG33" s="2" t="s">
        <v>150</v>
      </c>
      <c r="AH33" s="2" t="s">
        <v>360</v>
      </c>
      <c r="AI33" s="2"/>
      <c r="AJ33" s="2"/>
      <c r="AK33" s="2"/>
    </row>
    <row r="34" spans="1:37" ht="43.2" hidden="1" x14ac:dyDescent="0.3">
      <c r="A34" s="2" t="s">
        <v>361</v>
      </c>
      <c r="B34" s="2" t="s">
        <v>362</v>
      </c>
      <c r="C34" s="2" t="s">
        <v>363</v>
      </c>
      <c r="D34" s="2" t="s">
        <v>155</v>
      </c>
      <c r="E34" s="2" t="s">
        <v>347</v>
      </c>
      <c r="F34" s="2"/>
      <c r="G34" s="2" t="s">
        <v>364</v>
      </c>
      <c r="H34" s="2" t="s">
        <v>170</v>
      </c>
      <c r="I34" s="2" t="s">
        <v>145</v>
      </c>
      <c r="J34" s="2" t="s">
        <v>81</v>
      </c>
      <c r="K34" s="2" t="s">
        <v>160</v>
      </c>
      <c r="L34" s="2" t="s">
        <v>47</v>
      </c>
      <c r="M34" s="2" t="s">
        <v>48</v>
      </c>
      <c r="N34" s="2" t="s">
        <v>81</v>
      </c>
      <c r="O34" s="2" t="s">
        <v>49</v>
      </c>
      <c r="P34" s="2" t="s">
        <v>50</v>
      </c>
      <c r="Q34" s="3"/>
      <c r="R34" s="3"/>
      <c r="S34" s="3"/>
      <c r="T34" s="3"/>
      <c r="U34" s="2" t="s">
        <v>82</v>
      </c>
      <c r="V34" s="2" t="s">
        <v>49</v>
      </c>
      <c r="W34" s="2" t="str">
        <f t="shared" ref="W34:W65" ca="1" si="1">IF(R34="","",TODAY()-R34)</f>
        <v/>
      </c>
      <c r="X34" s="2" t="s">
        <v>52</v>
      </c>
      <c r="Y34" s="2"/>
      <c r="Z34" s="2"/>
      <c r="AA34" s="2" t="s">
        <v>84</v>
      </c>
      <c r="AB34" s="2" t="s">
        <v>54</v>
      </c>
      <c r="AC34" s="2" t="s">
        <v>55</v>
      </c>
      <c r="AD34" s="2" t="s">
        <v>365</v>
      </c>
      <c r="AE34" s="2" t="s">
        <v>366</v>
      </c>
      <c r="AF34" s="2" t="s">
        <v>367</v>
      </c>
      <c r="AG34" s="2" t="s">
        <v>72</v>
      </c>
      <c r="AH34" s="2" t="s">
        <v>368</v>
      </c>
      <c r="AI34" s="2"/>
      <c r="AJ34" s="2"/>
      <c r="AK34" s="2"/>
    </row>
    <row r="35" spans="1:37" ht="43.2" hidden="1" x14ac:dyDescent="0.3">
      <c r="A35" s="2" t="s">
        <v>369</v>
      </c>
      <c r="B35" s="2" t="s">
        <v>370</v>
      </c>
      <c r="C35" s="2" t="s">
        <v>371</v>
      </c>
      <c r="D35" s="2" t="s">
        <v>155</v>
      </c>
      <c r="E35" s="2" t="s">
        <v>347</v>
      </c>
      <c r="F35" s="2"/>
      <c r="G35" s="2" t="s">
        <v>372</v>
      </c>
      <c r="H35" s="2" t="s">
        <v>170</v>
      </c>
      <c r="I35" s="2" t="s">
        <v>145</v>
      </c>
      <c r="J35" s="2" t="s">
        <v>146</v>
      </c>
      <c r="K35" s="2" t="s">
        <v>46</v>
      </c>
      <c r="L35" s="2" t="s">
        <v>47</v>
      </c>
      <c r="M35" s="2" t="s">
        <v>48</v>
      </c>
      <c r="N35" s="2" t="s">
        <v>81</v>
      </c>
      <c r="O35" s="2" t="s">
        <v>49</v>
      </c>
      <c r="P35" s="2" t="s">
        <v>50</v>
      </c>
      <c r="Q35" s="3"/>
      <c r="R35" s="3"/>
      <c r="S35" s="3"/>
      <c r="T35" s="3"/>
      <c r="U35" s="2" t="s">
        <v>82</v>
      </c>
      <c r="V35" s="2" t="s">
        <v>49</v>
      </c>
      <c r="W35" s="2" t="str">
        <f t="shared" ca="1" si="1"/>
        <v/>
      </c>
      <c r="X35" s="2" t="s">
        <v>52</v>
      </c>
      <c r="Y35" s="2"/>
      <c r="Z35" s="2"/>
      <c r="AA35" s="2" t="s">
        <v>84</v>
      </c>
      <c r="AB35" s="2" t="s">
        <v>54</v>
      </c>
      <c r="AC35" s="2" t="s">
        <v>55</v>
      </c>
      <c r="AD35" s="2" t="s">
        <v>373</v>
      </c>
      <c r="AE35" s="2" t="s">
        <v>374</v>
      </c>
      <c r="AF35" s="2" t="s">
        <v>375</v>
      </c>
      <c r="AG35" s="2" t="s">
        <v>72</v>
      </c>
      <c r="AH35" s="2" t="s">
        <v>376</v>
      </c>
      <c r="AI35" s="2"/>
      <c r="AJ35" s="2"/>
      <c r="AK35" s="2"/>
    </row>
    <row r="36" spans="1:37" ht="43.2" hidden="1" x14ac:dyDescent="0.3">
      <c r="A36" s="2" t="s">
        <v>377</v>
      </c>
      <c r="B36" s="2" t="s">
        <v>378</v>
      </c>
      <c r="C36" s="2" t="s">
        <v>379</v>
      </c>
      <c r="D36" s="2" t="s">
        <v>155</v>
      </c>
      <c r="E36" s="2" t="s">
        <v>347</v>
      </c>
      <c r="F36" s="2"/>
      <c r="G36" s="2" t="s">
        <v>380</v>
      </c>
      <c r="H36" s="2" t="s">
        <v>170</v>
      </c>
      <c r="I36" s="2" t="s">
        <v>145</v>
      </c>
      <c r="J36" s="2" t="s">
        <v>81</v>
      </c>
      <c r="K36" s="2" t="s">
        <v>160</v>
      </c>
      <c r="L36" s="2" t="s">
        <v>47</v>
      </c>
      <c r="M36" s="2" t="s">
        <v>48</v>
      </c>
      <c r="N36" s="2" t="s">
        <v>81</v>
      </c>
      <c r="O36" s="2" t="s">
        <v>49</v>
      </c>
      <c r="P36" s="2" t="s">
        <v>50</v>
      </c>
      <c r="Q36" s="3"/>
      <c r="R36" s="3"/>
      <c r="S36" s="3"/>
      <c r="T36" s="3"/>
      <c r="U36" s="2" t="s">
        <v>82</v>
      </c>
      <c r="V36" s="2" t="s">
        <v>49</v>
      </c>
      <c r="W36" s="2" t="str">
        <f t="shared" ca="1" si="1"/>
        <v/>
      </c>
      <c r="X36" s="2" t="s">
        <v>52</v>
      </c>
      <c r="Y36" s="2"/>
      <c r="Z36" s="2"/>
      <c r="AA36" s="2" t="s">
        <v>84</v>
      </c>
      <c r="AB36" s="2" t="s">
        <v>54</v>
      </c>
      <c r="AC36" s="2" t="s">
        <v>55</v>
      </c>
      <c r="AD36" s="2" t="s">
        <v>381</v>
      </c>
      <c r="AE36" s="2" t="s">
        <v>382</v>
      </c>
      <c r="AF36" s="2" t="s">
        <v>383</v>
      </c>
      <c r="AG36" s="2" t="s">
        <v>150</v>
      </c>
      <c r="AH36" s="2" t="s">
        <v>384</v>
      </c>
      <c r="AI36" s="2"/>
      <c r="AJ36" s="2"/>
      <c r="AK36" s="2"/>
    </row>
    <row r="37" spans="1:37" ht="43.2" hidden="1" x14ac:dyDescent="0.3">
      <c r="A37" s="2" t="s">
        <v>385</v>
      </c>
      <c r="B37" s="2" t="s">
        <v>386</v>
      </c>
      <c r="C37" s="2" t="s">
        <v>387</v>
      </c>
      <c r="D37" s="2" t="s">
        <v>155</v>
      </c>
      <c r="E37" s="2" t="s">
        <v>347</v>
      </c>
      <c r="F37" s="2"/>
      <c r="G37" s="2" t="s">
        <v>388</v>
      </c>
      <c r="H37" s="2" t="s">
        <v>170</v>
      </c>
      <c r="I37" s="2" t="s">
        <v>145</v>
      </c>
      <c r="J37" s="2" t="s">
        <v>81</v>
      </c>
      <c r="K37" s="2" t="s">
        <v>160</v>
      </c>
      <c r="L37" s="2" t="s">
        <v>47</v>
      </c>
      <c r="M37" s="2" t="s">
        <v>48</v>
      </c>
      <c r="N37" s="2" t="s">
        <v>81</v>
      </c>
      <c r="O37" s="2" t="s">
        <v>49</v>
      </c>
      <c r="P37" s="2" t="s">
        <v>50</v>
      </c>
      <c r="Q37" s="3"/>
      <c r="R37" s="3"/>
      <c r="S37" s="3"/>
      <c r="T37" s="3"/>
      <c r="U37" s="2" t="s">
        <v>82</v>
      </c>
      <c r="V37" s="2" t="s">
        <v>49</v>
      </c>
      <c r="W37" s="2" t="str">
        <f t="shared" ca="1" si="1"/>
        <v/>
      </c>
      <c r="X37" s="2" t="s">
        <v>52</v>
      </c>
      <c r="Y37" s="2"/>
      <c r="Z37" s="2"/>
      <c r="AA37" s="2" t="s">
        <v>84</v>
      </c>
      <c r="AB37" s="2" t="s">
        <v>54</v>
      </c>
      <c r="AC37" s="2" t="s">
        <v>55</v>
      </c>
      <c r="AD37" s="2" t="s">
        <v>389</v>
      </c>
      <c r="AE37" s="2" t="s">
        <v>390</v>
      </c>
      <c r="AF37" s="2" t="s">
        <v>383</v>
      </c>
      <c r="AG37" s="2" t="s">
        <v>150</v>
      </c>
      <c r="AH37" s="2" t="s">
        <v>391</v>
      </c>
      <c r="AI37" s="2"/>
      <c r="AJ37" s="2"/>
      <c r="AK37" s="2"/>
    </row>
    <row r="38" spans="1:37" ht="43.2" hidden="1" x14ac:dyDescent="0.3">
      <c r="A38" s="2" t="s">
        <v>392</v>
      </c>
      <c r="B38" s="2" t="s">
        <v>393</v>
      </c>
      <c r="C38" s="2" t="s">
        <v>394</v>
      </c>
      <c r="D38" s="2" t="s">
        <v>155</v>
      </c>
      <c r="E38" s="2" t="s">
        <v>78</v>
      </c>
      <c r="F38" s="2"/>
      <c r="G38" s="2" t="s">
        <v>395</v>
      </c>
      <c r="H38" s="2" t="s">
        <v>170</v>
      </c>
      <c r="I38" s="2" t="s">
        <v>80</v>
      </c>
      <c r="J38" s="2" t="s">
        <v>81</v>
      </c>
      <c r="K38" s="2" t="s">
        <v>160</v>
      </c>
      <c r="L38" s="2" t="s">
        <v>47</v>
      </c>
      <c r="M38" s="2" t="s">
        <v>48</v>
      </c>
      <c r="N38" s="2" t="s">
        <v>81</v>
      </c>
      <c r="O38" s="2" t="s">
        <v>49</v>
      </c>
      <c r="P38" s="2" t="s">
        <v>50</v>
      </c>
      <c r="Q38" s="3"/>
      <c r="R38" s="3"/>
      <c r="S38" s="3"/>
      <c r="T38" s="3"/>
      <c r="U38" s="2" t="s">
        <v>82</v>
      </c>
      <c r="V38" s="2" t="s">
        <v>49</v>
      </c>
      <c r="W38" s="2" t="str">
        <f t="shared" ca="1" si="1"/>
        <v/>
      </c>
      <c r="X38" s="2" t="s">
        <v>83</v>
      </c>
      <c r="Y38" s="2"/>
      <c r="Z38" s="2"/>
      <c r="AA38" s="2" t="s">
        <v>84</v>
      </c>
      <c r="AB38" s="2" t="s">
        <v>54</v>
      </c>
      <c r="AC38" s="2" t="s">
        <v>55</v>
      </c>
      <c r="AD38" s="2" t="s">
        <v>396</v>
      </c>
      <c r="AE38" s="2" t="s">
        <v>397</v>
      </c>
      <c r="AF38" s="2" t="s">
        <v>87</v>
      </c>
      <c r="AG38" s="2" t="s">
        <v>88</v>
      </c>
      <c r="AH38" s="2" t="s">
        <v>398</v>
      </c>
      <c r="AI38" s="2"/>
      <c r="AJ38" s="2"/>
      <c r="AK38" s="2"/>
    </row>
    <row r="39" spans="1:37" ht="43.2" hidden="1" x14ac:dyDescent="0.3">
      <c r="A39" s="2" t="s">
        <v>399</v>
      </c>
      <c r="B39" s="2" t="s">
        <v>400</v>
      </c>
      <c r="C39" s="2" t="s">
        <v>401</v>
      </c>
      <c r="D39" s="2" t="s">
        <v>155</v>
      </c>
      <c r="E39" s="2" t="s">
        <v>78</v>
      </c>
      <c r="F39" s="2"/>
      <c r="G39" s="2" t="s">
        <v>402</v>
      </c>
      <c r="H39" s="2" t="s">
        <v>170</v>
      </c>
      <c r="I39" s="2" t="s">
        <v>80</v>
      </c>
      <c r="J39" s="2" t="s">
        <v>81</v>
      </c>
      <c r="K39" s="2" t="s">
        <v>160</v>
      </c>
      <c r="L39" s="2" t="s">
        <v>47</v>
      </c>
      <c r="M39" s="2" t="s">
        <v>48</v>
      </c>
      <c r="N39" s="2" t="s">
        <v>81</v>
      </c>
      <c r="O39" s="2" t="s">
        <v>49</v>
      </c>
      <c r="P39" s="2" t="s">
        <v>50</v>
      </c>
      <c r="Q39" s="3"/>
      <c r="R39" s="3"/>
      <c r="S39" s="3"/>
      <c r="T39" s="3"/>
      <c r="U39" s="2" t="s">
        <v>82</v>
      </c>
      <c r="V39" s="2" t="s">
        <v>49</v>
      </c>
      <c r="W39" s="2" t="str">
        <f t="shared" ca="1" si="1"/>
        <v/>
      </c>
      <c r="X39" s="2" t="s">
        <v>83</v>
      </c>
      <c r="Y39" s="2"/>
      <c r="Z39" s="2"/>
      <c r="AA39" s="2" t="s">
        <v>84</v>
      </c>
      <c r="AB39" s="2" t="s">
        <v>54</v>
      </c>
      <c r="AC39" s="2" t="s">
        <v>55</v>
      </c>
      <c r="AD39" s="2" t="s">
        <v>403</v>
      </c>
      <c r="AE39" s="2" t="s">
        <v>404</v>
      </c>
      <c r="AF39" s="2" t="s">
        <v>87</v>
      </c>
      <c r="AG39" s="2" t="s">
        <v>88</v>
      </c>
      <c r="AH39" s="2" t="s">
        <v>405</v>
      </c>
      <c r="AI39" s="2"/>
      <c r="AJ39" s="2"/>
      <c r="AK39" s="2"/>
    </row>
    <row r="40" spans="1:37" ht="43.2" hidden="1" x14ac:dyDescent="0.3">
      <c r="A40" s="2" t="s">
        <v>406</v>
      </c>
      <c r="B40" s="2" t="s">
        <v>407</v>
      </c>
      <c r="C40" s="2" t="s">
        <v>408</v>
      </c>
      <c r="D40" s="2" t="s">
        <v>155</v>
      </c>
      <c r="E40" s="2" t="s">
        <v>78</v>
      </c>
      <c r="F40" s="2"/>
      <c r="G40" s="2" t="s">
        <v>409</v>
      </c>
      <c r="H40" s="2" t="s">
        <v>170</v>
      </c>
      <c r="I40" s="2" t="s">
        <v>80</v>
      </c>
      <c r="J40" s="2" t="s">
        <v>81</v>
      </c>
      <c r="K40" s="2" t="s">
        <v>160</v>
      </c>
      <c r="L40" s="2" t="s">
        <v>47</v>
      </c>
      <c r="M40" s="2" t="s">
        <v>48</v>
      </c>
      <c r="N40" s="2" t="s">
        <v>81</v>
      </c>
      <c r="O40" s="2" t="s">
        <v>49</v>
      </c>
      <c r="P40" s="2" t="s">
        <v>50</v>
      </c>
      <c r="Q40" s="3"/>
      <c r="R40" s="3"/>
      <c r="S40" s="3"/>
      <c r="T40" s="3"/>
      <c r="U40" s="2" t="s">
        <v>82</v>
      </c>
      <c r="V40" s="2" t="s">
        <v>49</v>
      </c>
      <c r="W40" s="2" t="str">
        <f t="shared" ca="1" si="1"/>
        <v/>
      </c>
      <c r="X40" s="2" t="s">
        <v>83</v>
      </c>
      <c r="Y40" s="2"/>
      <c r="Z40" s="2"/>
      <c r="AA40" s="2" t="s">
        <v>84</v>
      </c>
      <c r="AB40" s="2" t="s">
        <v>54</v>
      </c>
      <c r="AC40" s="2" t="s">
        <v>55</v>
      </c>
      <c r="AD40" s="2" t="s">
        <v>410</v>
      </c>
      <c r="AE40" s="2" t="s">
        <v>411</v>
      </c>
      <c r="AF40" s="2" t="s">
        <v>87</v>
      </c>
      <c r="AG40" s="2" t="s">
        <v>88</v>
      </c>
      <c r="AH40" s="2" t="s">
        <v>412</v>
      </c>
      <c r="AI40" s="2"/>
      <c r="AJ40" s="2"/>
      <c r="AK40" s="2"/>
    </row>
    <row r="41" spans="1:37" ht="43.2" hidden="1" x14ac:dyDescent="0.3">
      <c r="A41" s="2" t="s">
        <v>413</v>
      </c>
      <c r="B41" s="2" t="s">
        <v>414</v>
      </c>
      <c r="C41" s="2" t="s">
        <v>415</v>
      </c>
      <c r="D41" s="2" t="s">
        <v>155</v>
      </c>
      <c r="E41" s="2" t="s">
        <v>78</v>
      </c>
      <c r="F41" s="2"/>
      <c r="G41" s="2" t="s">
        <v>416</v>
      </c>
      <c r="H41" s="2" t="s">
        <v>170</v>
      </c>
      <c r="I41" s="2" t="s">
        <v>80</v>
      </c>
      <c r="J41" s="2" t="s">
        <v>81</v>
      </c>
      <c r="K41" s="2" t="s">
        <v>160</v>
      </c>
      <c r="L41" s="2" t="s">
        <v>47</v>
      </c>
      <c r="M41" s="2" t="s">
        <v>48</v>
      </c>
      <c r="N41" s="2" t="s">
        <v>81</v>
      </c>
      <c r="O41" s="2" t="s">
        <v>49</v>
      </c>
      <c r="P41" s="2" t="s">
        <v>50</v>
      </c>
      <c r="Q41" s="3"/>
      <c r="R41" s="3"/>
      <c r="S41" s="3"/>
      <c r="T41" s="3"/>
      <c r="U41" s="2" t="s">
        <v>82</v>
      </c>
      <c r="V41" s="2" t="s">
        <v>49</v>
      </c>
      <c r="W41" s="2" t="str">
        <f t="shared" ca="1" si="1"/>
        <v/>
      </c>
      <c r="X41" s="2" t="s">
        <v>83</v>
      </c>
      <c r="Y41" s="2"/>
      <c r="Z41" s="2"/>
      <c r="AA41" s="2" t="s">
        <v>84</v>
      </c>
      <c r="AB41" s="2" t="s">
        <v>54</v>
      </c>
      <c r="AC41" s="2" t="s">
        <v>55</v>
      </c>
      <c r="AD41" s="2" t="s">
        <v>417</v>
      </c>
      <c r="AE41" s="2" t="s">
        <v>418</v>
      </c>
      <c r="AF41" s="2" t="s">
        <v>87</v>
      </c>
      <c r="AG41" s="2" t="s">
        <v>88</v>
      </c>
      <c r="AH41" s="2" t="s">
        <v>419</v>
      </c>
      <c r="AI41" s="2"/>
      <c r="AJ41" s="2"/>
      <c r="AK41" s="2"/>
    </row>
    <row r="42" spans="1:37" ht="43.2" hidden="1" x14ac:dyDescent="0.3">
      <c r="A42" s="2" t="s">
        <v>420</v>
      </c>
      <c r="B42" s="2" t="s">
        <v>421</v>
      </c>
      <c r="C42" s="2" t="s">
        <v>422</v>
      </c>
      <c r="D42" s="2" t="s">
        <v>155</v>
      </c>
      <c r="E42" s="2" t="s">
        <v>78</v>
      </c>
      <c r="F42" s="2"/>
      <c r="G42" s="2" t="s">
        <v>423</v>
      </c>
      <c r="H42" s="2" t="s">
        <v>170</v>
      </c>
      <c r="I42" s="2" t="s">
        <v>80</v>
      </c>
      <c r="J42" s="2" t="s">
        <v>81</v>
      </c>
      <c r="K42" s="2" t="s">
        <v>160</v>
      </c>
      <c r="L42" s="2" t="s">
        <v>47</v>
      </c>
      <c r="M42" s="2" t="s">
        <v>48</v>
      </c>
      <c r="N42" s="2" t="s">
        <v>81</v>
      </c>
      <c r="O42" s="2" t="s">
        <v>49</v>
      </c>
      <c r="P42" s="2" t="s">
        <v>50</v>
      </c>
      <c r="Q42" s="3"/>
      <c r="R42" s="3"/>
      <c r="S42" s="3"/>
      <c r="T42" s="3"/>
      <c r="U42" s="2" t="s">
        <v>82</v>
      </c>
      <c r="V42" s="2" t="s">
        <v>49</v>
      </c>
      <c r="W42" s="2" t="str">
        <f t="shared" ca="1" si="1"/>
        <v/>
      </c>
      <c r="X42" s="2" t="s">
        <v>83</v>
      </c>
      <c r="Y42" s="2"/>
      <c r="Z42" s="2"/>
      <c r="AA42" s="2" t="s">
        <v>84</v>
      </c>
      <c r="AB42" s="2" t="s">
        <v>54</v>
      </c>
      <c r="AC42" s="2" t="s">
        <v>55</v>
      </c>
      <c r="AD42" s="2" t="s">
        <v>424</v>
      </c>
      <c r="AE42" s="2" t="s">
        <v>425</v>
      </c>
      <c r="AF42" s="2" t="s">
        <v>87</v>
      </c>
      <c r="AG42" s="2" t="s">
        <v>88</v>
      </c>
      <c r="AH42" s="2" t="s">
        <v>426</v>
      </c>
      <c r="AI42" s="2"/>
      <c r="AJ42" s="2"/>
      <c r="AK42" s="2"/>
    </row>
    <row r="43" spans="1:37" ht="43.2" hidden="1" x14ac:dyDescent="0.3">
      <c r="A43" s="2" t="s">
        <v>427</v>
      </c>
      <c r="B43" s="2" t="s">
        <v>428</v>
      </c>
      <c r="C43" s="2" t="s">
        <v>429</v>
      </c>
      <c r="D43" s="2" t="s">
        <v>155</v>
      </c>
      <c r="E43" s="2" t="s">
        <v>78</v>
      </c>
      <c r="F43" s="2"/>
      <c r="G43" s="2" t="s">
        <v>430</v>
      </c>
      <c r="H43" s="2" t="s">
        <v>170</v>
      </c>
      <c r="I43" s="2" t="s">
        <v>80</v>
      </c>
      <c r="J43" s="2" t="s">
        <v>81</v>
      </c>
      <c r="K43" s="2" t="s">
        <v>160</v>
      </c>
      <c r="L43" s="2" t="s">
        <v>47</v>
      </c>
      <c r="M43" s="2" t="s">
        <v>48</v>
      </c>
      <c r="N43" s="2" t="s">
        <v>81</v>
      </c>
      <c r="O43" s="2" t="s">
        <v>49</v>
      </c>
      <c r="P43" s="2" t="s">
        <v>50</v>
      </c>
      <c r="Q43" s="3"/>
      <c r="R43" s="3"/>
      <c r="S43" s="3"/>
      <c r="T43" s="3"/>
      <c r="U43" s="2" t="s">
        <v>82</v>
      </c>
      <c r="V43" s="2" t="s">
        <v>49</v>
      </c>
      <c r="W43" s="2" t="str">
        <f t="shared" ca="1" si="1"/>
        <v/>
      </c>
      <c r="X43" s="2" t="s">
        <v>83</v>
      </c>
      <c r="Y43" s="2"/>
      <c r="Z43" s="2"/>
      <c r="AA43" s="2" t="s">
        <v>84</v>
      </c>
      <c r="AB43" s="2" t="s">
        <v>54</v>
      </c>
      <c r="AC43" s="2" t="s">
        <v>55</v>
      </c>
      <c r="AD43" s="2" t="s">
        <v>431</v>
      </c>
      <c r="AE43" s="2" t="s">
        <v>432</v>
      </c>
      <c r="AF43" s="2" t="s">
        <v>87</v>
      </c>
      <c r="AG43" s="2" t="s">
        <v>88</v>
      </c>
      <c r="AH43" s="2" t="s">
        <v>433</v>
      </c>
      <c r="AI43" s="2"/>
      <c r="AJ43" s="2"/>
      <c r="AK43" s="2"/>
    </row>
    <row r="44" spans="1:37" ht="43.2" hidden="1" x14ac:dyDescent="0.3">
      <c r="A44" s="2" t="s">
        <v>434</v>
      </c>
      <c r="B44" s="2" t="s">
        <v>435</v>
      </c>
      <c r="C44" s="2" t="s">
        <v>436</v>
      </c>
      <c r="D44" s="2" t="s">
        <v>155</v>
      </c>
      <c r="E44" s="2" t="s">
        <v>78</v>
      </c>
      <c r="F44" s="2"/>
      <c r="G44" s="2" t="s">
        <v>437</v>
      </c>
      <c r="H44" s="2" t="s">
        <v>170</v>
      </c>
      <c r="I44" s="2" t="s">
        <v>80</v>
      </c>
      <c r="J44" s="2" t="s">
        <v>81</v>
      </c>
      <c r="K44" s="2" t="s">
        <v>160</v>
      </c>
      <c r="L44" s="2" t="s">
        <v>47</v>
      </c>
      <c r="M44" s="2" t="s">
        <v>48</v>
      </c>
      <c r="N44" s="2" t="s">
        <v>81</v>
      </c>
      <c r="O44" s="2" t="s">
        <v>49</v>
      </c>
      <c r="P44" s="2" t="s">
        <v>50</v>
      </c>
      <c r="Q44" s="3"/>
      <c r="R44" s="3"/>
      <c r="S44" s="3"/>
      <c r="T44" s="3"/>
      <c r="U44" s="2" t="s">
        <v>82</v>
      </c>
      <c r="V44" s="2" t="s">
        <v>49</v>
      </c>
      <c r="W44" s="2" t="str">
        <f t="shared" ca="1" si="1"/>
        <v/>
      </c>
      <c r="X44" s="2" t="s">
        <v>83</v>
      </c>
      <c r="Y44" s="2"/>
      <c r="Z44" s="2"/>
      <c r="AA44" s="2" t="s">
        <v>84</v>
      </c>
      <c r="AB44" s="2" t="s">
        <v>54</v>
      </c>
      <c r="AC44" s="2" t="s">
        <v>55</v>
      </c>
      <c r="AD44" s="2" t="s">
        <v>438</v>
      </c>
      <c r="AE44" s="2" t="s">
        <v>439</v>
      </c>
      <c r="AF44" s="2" t="s">
        <v>87</v>
      </c>
      <c r="AG44" s="2" t="s">
        <v>88</v>
      </c>
      <c r="AH44" s="2" t="s">
        <v>440</v>
      </c>
      <c r="AI44" s="2"/>
      <c r="AJ44" s="2"/>
      <c r="AK44" s="2"/>
    </row>
    <row r="45" spans="1:37" ht="43.2" hidden="1" x14ac:dyDescent="0.3">
      <c r="A45" s="2" t="s">
        <v>441</v>
      </c>
      <c r="B45" s="2" t="s">
        <v>442</v>
      </c>
      <c r="C45" s="2" t="s">
        <v>443</v>
      </c>
      <c r="D45" s="2" t="s">
        <v>155</v>
      </c>
      <c r="E45" s="2" t="s">
        <v>78</v>
      </c>
      <c r="F45" s="2"/>
      <c r="G45" s="2" t="s">
        <v>444</v>
      </c>
      <c r="H45" s="2" t="s">
        <v>170</v>
      </c>
      <c r="I45" s="2" t="s">
        <v>80</v>
      </c>
      <c r="J45" s="2" t="s">
        <v>81</v>
      </c>
      <c r="K45" s="2" t="s">
        <v>160</v>
      </c>
      <c r="L45" s="2" t="s">
        <v>47</v>
      </c>
      <c r="M45" s="2" t="s">
        <v>48</v>
      </c>
      <c r="N45" s="2" t="s">
        <v>81</v>
      </c>
      <c r="O45" s="2" t="s">
        <v>49</v>
      </c>
      <c r="P45" s="2" t="s">
        <v>50</v>
      </c>
      <c r="Q45" s="3"/>
      <c r="R45" s="3"/>
      <c r="S45" s="3"/>
      <c r="T45" s="3"/>
      <c r="U45" s="2" t="s">
        <v>82</v>
      </c>
      <c r="V45" s="2" t="s">
        <v>49</v>
      </c>
      <c r="W45" s="2" t="str">
        <f t="shared" ca="1" si="1"/>
        <v/>
      </c>
      <c r="X45" s="2" t="s">
        <v>83</v>
      </c>
      <c r="Y45" s="2"/>
      <c r="Z45" s="2"/>
      <c r="AA45" s="2" t="s">
        <v>84</v>
      </c>
      <c r="AB45" s="2" t="s">
        <v>54</v>
      </c>
      <c r="AC45" s="2" t="s">
        <v>55</v>
      </c>
      <c r="AD45" s="2" t="s">
        <v>445</v>
      </c>
      <c r="AE45" s="2" t="s">
        <v>446</v>
      </c>
      <c r="AF45" s="2" t="s">
        <v>87</v>
      </c>
      <c r="AG45" s="2" t="s">
        <v>88</v>
      </c>
      <c r="AH45" s="2" t="s">
        <v>447</v>
      </c>
      <c r="AI45" s="2"/>
      <c r="AJ45" s="2"/>
      <c r="AK45" s="2"/>
    </row>
    <row r="46" spans="1:37" ht="43.2" hidden="1" x14ac:dyDescent="0.3">
      <c r="A46" s="2" t="s">
        <v>448</v>
      </c>
      <c r="B46" s="2" t="s">
        <v>449</v>
      </c>
      <c r="C46" s="2" t="s">
        <v>450</v>
      </c>
      <c r="D46" s="2" t="s">
        <v>155</v>
      </c>
      <c r="E46" s="2" t="s">
        <v>78</v>
      </c>
      <c r="F46" s="2"/>
      <c r="G46" s="2" t="s">
        <v>451</v>
      </c>
      <c r="H46" s="2" t="s">
        <v>170</v>
      </c>
      <c r="I46" s="2" t="s">
        <v>80</v>
      </c>
      <c r="J46" s="2" t="s">
        <v>146</v>
      </c>
      <c r="K46" s="2" t="s">
        <v>46</v>
      </c>
      <c r="L46" s="2" t="s">
        <v>47</v>
      </c>
      <c r="M46" s="2" t="s">
        <v>48</v>
      </c>
      <c r="N46" s="2" t="s">
        <v>81</v>
      </c>
      <c r="O46" s="2" t="s">
        <v>49</v>
      </c>
      <c r="P46" s="2" t="s">
        <v>50</v>
      </c>
      <c r="Q46" s="3"/>
      <c r="R46" s="3"/>
      <c r="S46" s="3"/>
      <c r="T46" s="3"/>
      <c r="U46" s="2" t="s">
        <v>82</v>
      </c>
      <c r="V46" s="2" t="s">
        <v>49</v>
      </c>
      <c r="W46" s="2" t="str">
        <f t="shared" ca="1" si="1"/>
        <v/>
      </c>
      <c r="X46" s="2" t="s">
        <v>83</v>
      </c>
      <c r="Y46" s="2"/>
      <c r="Z46" s="2"/>
      <c r="AA46" s="2" t="s">
        <v>84</v>
      </c>
      <c r="AB46" s="2" t="s">
        <v>54</v>
      </c>
      <c r="AC46" s="2" t="s">
        <v>55</v>
      </c>
      <c r="AD46" s="2" t="s">
        <v>452</v>
      </c>
      <c r="AE46" s="2" t="s">
        <v>453</v>
      </c>
      <c r="AF46" s="2" t="s">
        <v>87</v>
      </c>
      <c r="AG46" s="2" t="s">
        <v>88</v>
      </c>
      <c r="AH46" s="2" t="s">
        <v>454</v>
      </c>
      <c r="AI46" s="2"/>
      <c r="AJ46" s="2"/>
      <c r="AK46" s="2"/>
    </row>
    <row r="47" spans="1:37" ht="43.2" hidden="1" x14ac:dyDescent="0.3">
      <c r="A47" s="2" t="s">
        <v>455</v>
      </c>
      <c r="B47" s="2" t="s">
        <v>456</v>
      </c>
      <c r="C47" s="2" t="s">
        <v>457</v>
      </c>
      <c r="D47" s="2" t="s">
        <v>155</v>
      </c>
      <c r="E47" s="2" t="s">
        <v>78</v>
      </c>
      <c r="F47" s="2"/>
      <c r="G47" s="2" t="s">
        <v>458</v>
      </c>
      <c r="H47" s="2" t="s">
        <v>170</v>
      </c>
      <c r="I47" s="2" t="s">
        <v>80</v>
      </c>
      <c r="J47" s="2" t="s">
        <v>45</v>
      </c>
      <c r="K47" s="2" t="s">
        <v>160</v>
      </c>
      <c r="L47" s="2" t="s">
        <v>47</v>
      </c>
      <c r="M47" s="2" t="s">
        <v>48</v>
      </c>
      <c r="N47" s="2" t="s">
        <v>81</v>
      </c>
      <c r="O47" s="2" t="s">
        <v>49</v>
      </c>
      <c r="P47" s="2" t="s">
        <v>50</v>
      </c>
      <c r="Q47" s="3"/>
      <c r="R47" s="3"/>
      <c r="S47" s="3"/>
      <c r="T47" s="3"/>
      <c r="U47" s="2" t="s">
        <v>82</v>
      </c>
      <c r="V47" s="2" t="s">
        <v>49</v>
      </c>
      <c r="W47" s="2" t="str">
        <f t="shared" ca="1" si="1"/>
        <v/>
      </c>
      <c r="X47" s="2" t="s">
        <v>83</v>
      </c>
      <c r="Y47" s="2"/>
      <c r="Z47" s="2"/>
      <c r="AA47" s="2" t="s">
        <v>84</v>
      </c>
      <c r="AB47" s="2" t="s">
        <v>54</v>
      </c>
      <c r="AC47" s="2" t="s">
        <v>55</v>
      </c>
      <c r="AD47" s="2" t="s">
        <v>459</v>
      </c>
      <c r="AE47" s="2" t="s">
        <v>460</v>
      </c>
      <c r="AF47" s="2" t="s">
        <v>87</v>
      </c>
      <c r="AG47" s="2" t="s">
        <v>88</v>
      </c>
      <c r="AH47" s="2" t="s">
        <v>461</v>
      </c>
      <c r="AI47" s="2"/>
      <c r="AJ47" s="2"/>
      <c r="AK47" s="2"/>
    </row>
    <row r="48" spans="1:37" ht="43.2" hidden="1" x14ac:dyDescent="0.3">
      <c r="A48" s="2" t="s">
        <v>462</v>
      </c>
      <c r="B48" s="2" t="s">
        <v>463</v>
      </c>
      <c r="C48" s="2" t="s">
        <v>464</v>
      </c>
      <c r="D48" s="2" t="s">
        <v>155</v>
      </c>
      <c r="E48" s="2" t="s">
        <v>78</v>
      </c>
      <c r="F48" s="2"/>
      <c r="G48" s="2" t="s">
        <v>465</v>
      </c>
      <c r="H48" s="2" t="s">
        <v>170</v>
      </c>
      <c r="I48" s="2" t="s">
        <v>80</v>
      </c>
      <c r="J48" s="2" t="s">
        <v>146</v>
      </c>
      <c r="K48" s="2" t="s">
        <v>46</v>
      </c>
      <c r="L48" s="2" t="s">
        <v>47</v>
      </c>
      <c r="M48" s="2" t="s">
        <v>48</v>
      </c>
      <c r="N48" s="2" t="s">
        <v>81</v>
      </c>
      <c r="O48" s="2" t="s">
        <v>49</v>
      </c>
      <c r="P48" s="2" t="s">
        <v>50</v>
      </c>
      <c r="Q48" s="3"/>
      <c r="R48" s="3"/>
      <c r="S48" s="3"/>
      <c r="T48" s="3"/>
      <c r="U48" s="2" t="s">
        <v>82</v>
      </c>
      <c r="V48" s="2" t="s">
        <v>49</v>
      </c>
      <c r="W48" s="2" t="str">
        <f t="shared" ca="1" si="1"/>
        <v/>
      </c>
      <c r="X48" s="2" t="s">
        <v>83</v>
      </c>
      <c r="Y48" s="2"/>
      <c r="Z48" s="2"/>
      <c r="AA48" s="2" t="s">
        <v>84</v>
      </c>
      <c r="AB48" s="2" t="s">
        <v>54</v>
      </c>
      <c r="AC48" s="2" t="s">
        <v>55</v>
      </c>
      <c r="AD48" s="2" t="s">
        <v>466</v>
      </c>
      <c r="AE48" s="2" t="s">
        <v>467</v>
      </c>
      <c r="AF48" s="2" t="s">
        <v>87</v>
      </c>
      <c r="AG48" s="2" t="s">
        <v>88</v>
      </c>
      <c r="AH48" s="2" t="s">
        <v>468</v>
      </c>
      <c r="AI48" s="2"/>
      <c r="AJ48" s="2"/>
      <c r="AK48" s="2"/>
    </row>
    <row r="49" spans="1:37" ht="43.2" hidden="1" x14ac:dyDescent="0.3">
      <c r="A49" s="2" t="s">
        <v>469</v>
      </c>
      <c r="B49" s="2" t="s">
        <v>470</v>
      </c>
      <c r="C49" s="2" t="s">
        <v>471</v>
      </c>
      <c r="D49" s="2" t="s">
        <v>155</v>
      </c>
      <c r="E49" s="2" t="s">
        <v>78</v>
      </c>
      <c r="F49" s="2"/>
      <c r="G49" s="2" t="s">
        <v>472</v>
      </c>
      <c r="H49" s="2" t="s">
        <v>170</v>
      </c>
      <c r="I49" s="2" t="s">
        <v>80</v>
      </c>
      <c r="J49" s="2" t="s">
        <v>81</v>
      </c>
      <c r="K49" s="2" t="s">
        <v>160</v>
      </c>
      <c r="L49" s="2" t="s">
        <v>47</v>
      </c>
      <c r="M49" s="2" t="s">
        <v>48</v>
      </c>
      <c r="N49" s="2" t="s">
        <v>81</v>
      </c>
      <c r="O49" s="2" t="s">
        <v>49</v>
      </c>
      <c r="P49" s="2" t="s">
        <v>50</v>
      </c>
      <c r="Q49" s="3"/>
      <c r="R49" s="3"/>
      <c r="S49" s="3"/>
      <c r="T49" s="3"/>
      <c r="U49" s="2" t="s">
        <v>82</v>
      </c>
      <c r="V49" s="2" t="s">
        <v>49</v>
      </c>
      <c r="W49" s="2" t="str">
        <f t="shared" ca="1" si="1"/>
        <v/>
      </c>
      <c r="X49" s="2" t="s">
        <v>83</v>
      </c>
      <c r="Y49" s="2"/>
      <c r="Z49" s="2"/>
      <c r="AA49" s="2" t="s">
        <v>84</v>
      </c>
      <c r="AB49" s="2" t="s">
        <v>54</v>
      </c>
      <c r="AC49" s="2" t="s">
        <v>55</v>
      </c>
      <c r="AD49" s="2" t="s">
        <v>473</v>
      </c>
      <c r="AE49" s="2" t="s">
        <v>474</v>
      </c>
      <c r="AF49" s="2" t="s">
        <v>87</v>
      </c>
      <c r="AG49" s="2" t="s">
        <v>88</v>
      </c>
      <c r="AH49" s="2" t="s">
        <v>475</v>
      </c>
      <c r="AI49" s="2"/>
      <c r="AJ49" s="2"/>
      <c r="AK49" s="2"/>
    </row>
    <row r="50" spans="1:37" ht="43.2" hidden="1" x14ac:dyDescent="0.3">
      <c r="A50" s="2" t="s">
        <v>476</v>
      </c>
      <c r="B50" s="2" t="s">
        <v>477</v>
      </c>
      <c r="C50" s="2" t="s">
        <v>478</v>
      </c>
      <c r="D50" s="2" t="s">
        <v>155</v>
      </c>
      <c r="E50" s="2" t="s">
        <v>78</v>
      </c>
      <c r="F50" s="2"/>
      <c r="G50" s="2" t="s">
        <v>479</v>
      </c>
      <c r="H50" s="2" t="s">
        <v>170</v>
      </c>
      <c r="I50" s="2" t="s">
        <v>80</v>
      </c>
      <c r="J50" s="2" t="s">
        <v>81</v>
      </c>
      <c r="K50" s="2" t="s">
        <v>160</v>
      </c>
      <c r="L50" s="2" t="s">
        <v>47</v>
      </c>
      <c r="M50" s="2" t="s">
        <v>48</v>
      </c>
      <c r="N50" s="2" t="s">
        <v>81</v>
      </c>
      <c r="O50" s="2" t="s">
        <v>49</v>
      </c>
      <c r="P50" s="2" t="s">
        <v>50</v>
      </c>
      <c r="Q50" s="3"/>
      <c r="R50" s="3"/>
      <c r="S50" s="3"/>
      <c r="T50" s="3"/>
      <c r="U50" s="2" t="s">
        <v>82</v>
      </c>
      <c r="V50" s="2" t="s">
        <v>49</v>
      </c>
      <c r="W50" s="2" t="str">
        <f t="shared" ca="1" si="1"/>
        <v/>
      </c>
      <c r="X50" s="2" t="s">
        <v>83</v>
      </c>
      <c r="Y50" s="2"/>
      <c r="Z50" s="2"/>
      <c r="AA50" s="2" t="s">
        <v>84</v>
      </c>
      <c r="AB50" s="2" t="s">
        <v>54</v>
      </c>
      <c r="AC50" s="2" t="s">
        <v>55</v>
      </c>
      <c r="AD50" s="2" t="s">
        <v>480</v>
      </c>
      <c r="AE50" s="2" t="s">
        <v>481</v>
      </c>
      <c r="AF50" s="2" t="s">
        <v>87</v>
      </c>
      <c r="AG50" s="2" t="s">
        <v>88</v>
      </c>
      <c r="AH50" s="2" t="s">
        <v>482</v>
      </c>
      <c r="AI50" s="2"/>
      <c r="AJ50" s="2"/>
      <c r="AK50" s="2"/>
    </row>
    <row r="51" spans="1:37" ht="43.2" hidden="1" x14ac:dyDescent="0.3">
      <c r="A51" s="2" t="s">
        <v>483</v>
      </c>
      <c r="B51" s="2" t="s">
        <v>484</v>
      </c>
      <c r="C51" s="2" t="s">
        <v>485</v>
      </c>
      <c r="D51" s="2" t="s">
        <v>155</v>
      </c>
      <c r="E51" s="2" t="s">
        <v>78</v>
      </c>
      <c r="F51" s="2"/>
      <c r="G51" s="2" t="s">
        <v>486</v>
      </c>
      <c r="H51" s="2" t="s">
        <v>170</v>
      </c>
      <c r="I51" s="2" t="s">
        <v>80</v>
      </c>
      <c r="J51" s="2" t="s">
        <v>81</v>
      </c>
      <c r="K51" s="2" t="s">
        <v>160</v>
      </c>
      <c r="L51" s="2" t="s">
        <v>47</v>
      </c>
      <c r="M51" s="2" t="s">
        <v>48</v>
      </c>
      <c r="N51" s="2" t="s">
        <v>81</v>
      </c>
      <c r="O51" s="2" t="s">
        <v>49</v>
      </c>
      <c r="P51" s="2" t="s">
        <v>50</v>
      </c>
      <c r="Q51" s="3"/>
      <c r="R51" s="3"/>
      <c r="S51" s="3"/>
      <c r="T51" s="3"/>
      <c r="U51" s="2" t="s">
        <v>82</v>
      </c>
      <c r="V51" s="2" t="s">
        <v>49</v>
      </c>
      <c r="W51" s="2" t="str">
        <f t="shared" ca="1" si="1"/>
        <v/>
      </c>
      <c r="X51" s="2" t="s">
        <v>83</v>
      </c>
      <c r="Y51" s="2"/>
      <c r="Z51" s="2"/>
      <c r="AA51" s="2" t="s">
        <v>84</v>
      </c>
      <c r="AB51" s="2" t="s">
        <v>54</v>
      </c>
      <c r="AC51" s="2" t="s">
        <v>55</v>
      </c>
      <c r="AD51" s="2" t="s">
        <v>487</v>
      </c>
      <c r="AE51" s="2" t="s">
        <v>488</v>
      </c>
      <c r="AF51" s="2" t="s">
        <v>87</v>
      </c>
      <c r="AG51" s="2" t="s">
        <v>88</v>
      </c>
      <c r="AH51" s="2" t="s">
        <v>489</v>
      </c>
      <c r="AI51" s="2"/>
      <c r="AJ51" s="2"/>
      <c r="AK51" s="2"/>
    </row>
    <row r="52" spans="1:37" ht="43.2" hidden="1" x14ac:dyDescent="0.3">
      <c r="A52" s="2" t="s">
        <v>490</v>
      </c>
      <c r="B52" s="2" t="s">
        <v>491</v>
      </c>
      <c r="C52" s="2" t="s">
        <v>492</v>
      </c>
      <c r="D52" s="2" t="s">
        <v>155</v>
      </c>
      <c r="E52" s="2" t="s">
        <v>78</v>
      </c>
      <c r="F52" s="2"/>
      <c r="G52" s="2" t="s">
        <v>493</v>
      </c>
      <c r="H52" s="2" t="s">
        <v>170</v>
      </c>
      <c r="I52" s="2" t="s">
        <v>80</v>
      </c>
      <c r="J52" s="2" t="s">
        <v>146</v>
      </c>
      <c r="K52" s="2" t="s">
        <v>46</v>
      </c>
      <c r="L52" s="2" t="s">
        <v>47</v>
      </c>
      <c r="M52" s="2" t="s">
        <v>48</v>
      </c>
      <c r="N52" s="2" t="s">
        <v>81</v>
      </c>
      <c r="O52" s="2" t="s">
        <v>49</v>
      </c>
      <c r="P52" s="2" t="s">
        <v>50</v>
      </c>
      <c r="Q52" s="3"/>
      <c r="R52" s="3"/>
      <c r="S52" s="3"/>
      <c r="T52" s="3"/>
      <c r="U52" s="2" t="s">
        <v>82</v>
      </c>
      <c r="V52" s="2" t="s">
        <v>49</v>
      </c>
      <c r="W52" s="2" t="str">
        <f t="shared" ca="1" si="1"/>
        <v/>
      </c>
      <c r="X52" s="2" t="s">
        <v>83</v>
      </c>
      <c r="Y52" s="2"/>
      <c r="Z52" s="2"/>
      <c r="AA52" s="2" t="s">
        <v>84</v>
      </c>
      <c r="AB52" s="2" t="s">
        <v>54</v>
      </c>
      <c r="AC52" s="2" t="s">
        <v>55</v>
      </c>
      <c r="AD52" s="2" t="s">
        <v>494</v>
      </c>
      <c r="AE52" s="2" t="s">
        <v>495</v>
      </c>
      <c r="AF52" s="2" t="s">
        <v>87</v>
      </c>
      <c r="AG52" s="2" t="s">
        <v>88</v>
      </c>
      <c r="AH52" s="2" t="s">
        <v>496</v>
      </c>
      <c r="AI52" s="2"/>
      <c r="AJ52" s="2"/>
      <c r="AK52" s="2"/>
    </row>
    <row r="53" spans="1:37" ht="43.2" hidden="1" x14ac:dyDescent="0.3">
      <c r="A53" s="2" t="s">
        <v>497</v>
      </c>
      <c r="B53" s="2" t="s">
        <v>498</v>
      </c>
      <c r="C53" s="2" t="s">
        <v>499</v>
      </c>
      <c r="D53" s="2" t="s">
        <v>155</v>
      </c>
      <c r="E53" s="2" t="s">
        <v>78</v>
      </c>
      <c r="F53" s="2"/>
      <c r="G53" s="2" t="s">
        <v>500</v>
      </c>
      <c r="H53" s="2" t="s">
        <v>170</v>
      </c>
      <c r="I53" s="2" t="s">
        <v>80</v>
      </c>
      <c r="J53" s="2" t="s">
        <v>81</v>
      </c>
      <c r="K53" s="2" t="s">
        <v>160</v>
      </c>
      <c r="L53" s="2" t="s">
        <v>47</v>
      </c>
      <c r="M53" s="2" t="s">
        <v>48</v>
      </c>
      <c r="N53" s="2" t="s">
        <v>81</v>
      </c>
      <c r="O53" s="2" t="s">
        <v>49</v>
      </c>
      <c r="P53" s="2" t="s">
        <v>50</v>
      </c>
      <c r="Q53" s="3"/>
      <c r="R53" s="3"/>
      <c r="S53" s="3"/>
      <c r="T53" s="3"/>
      <c r="U53" s="2" t="s">
        <v>82</v>
      </c>
      <c r="V53" s="2" t="s">
        <v>49</v>
      </c>
      <c r="W53" s="2" t="str">
        <f t="shared" ca="1" si="1"/>
        <v/>
      </c>
      <c r="X53" s="2" t="s">
        <v>83</v>
      </c>
      <c r="Y53" s="2"/>
      <c r="Z53" s="2"/>
      <c r="AA53" s="2" t="s">
        <v>84</v>
      </c>
      <c r="AB53" s="2" t="s">
        <v>54</v>
      </c>
      <c r="AC53" s="2" t="s">
        <v>55</v>
      </c>
      <c r="AD53" s="2" t="s">
        <v>501</v>
      </c>
      <c r="AE53" s="2" t="s">
        <v>502</v>
      </c>
      <c r="AF53" s="2" t="s">
        <v>87</v>
      </c>
      <c r="AG53" s="2" t="s">
        <v>88</v>
      </c>
      <c r="AH53" s="2" t="s">
        <v>503</v>
      </c>
      <c r="AI53" s="2"/>
      <c r="AJ53" s="2"/>
      <c r="AK53" s="2"/>
    </row>
    <row r="54" spans="1:37" ht="43.2" hidden="1" x14ac:dyDescent="0.3">
      <c r="A54" s="2" t="s">
        <v>504</v>
      </c>
      <c r="B54" s="2" t="s">
        <v>505</v>
      </c>
      <c r="C54" s="2" t="s">
        <v>506</v>
      </c>
      <c r="D54" s="2" t="s">
        <v>155</v>
      </c>
      <c r="E54" s="2" t="s">
        <v>507</v>
      </c>
      <c r="F54" s="2"/>
      <c r="G54" s="2" t="s">
        <v>508</v>
      </c>
      <c r="H54" s="2" t="s">
        <v>170</v>
      </c>
      <c r="I54" s="2" t="s">
        <v>509</v>
      </c>
      <c r="J54" s="2" t="s">
        <v>81</v>
      </c>
      <c r="K54" s="2" t="s">
        <v>160</v>
      </c>
      <c r="L54" s="2" t="s">
        <v>47</v>
      </c>
      <c r="M54" s="2" t="s">
        <v>48</v>
      </c>
      <c r="N54" s="2" t="s">
        <v>81</v>
      </c>
      <c r="O54" s="2" t="s">
        <v>49</v>
      </c>
      <c r="P54" s="2" t="s">
        <v>50</v>
      </c>
      <c r="Q54" s="3"/>
      <c r="R54" s="3">
        <v>46268</v>
      </c>
      <c r="S54" s="3"/>
      <c r="T54" s="3"/>
      <c r="U54" s="2" t="s">
        <v>82</v>
      </c>
      <c r="V54" s="2" t="s">
        <v>49</v>
      </c>
      <c r="W54" s="2">
        <f t="shared" ca="1" si="1"/>
        <v>15</v>
      </c>
      <c r="X54" s="2" t="s">
        <v>83</v>
      </c>
      <c r="Y54" s="2"/>
      <c r="Z54" s="2"/>
      <c r="AA54" s="2" t="s">
        <v>102</v>
      </c>
      <c r="AB54" s="2" t="s">
        <v>54</v>
      </c>
      <c r="AC54" s="2" t="s">
        <v>55</v>
      </c>
      <c r="AD54" s="2" t="s">
        <v>510</v>
      </c>
      <c r="AE54" s="2" t="s">
        <v>511</v>
      </c>
      <c r="AF54" s="2" t="s">
        <v>512</v>
      </c>
      <c r="AG54" s="2" t="s">
        <v>72</v>
      </c>
      <c r="AH54" s="2" t="s">
        <v>513</v>
      </c>
      <c r="AI54" s="2"/>
      <c r="AJ54" s="2" t="s">
        <v>108</v>
      </c>
      <c r="AK54" s="2"/>
    </row>
    <row r="55" spans="1:37" ht="57.6" hidden="1" x14ac:dyDescent="0.3">
      <c r="A55" s="2" t="s">
        <v>514</v>
      </c>
      <c r="B55" s="2" t="s">
        <v>515</v>
      </c>
      <c r="C55" s="2" t="s">
        <v>516</v>
      </c>
      <c r="D55" s="2" t="s">
        <v>155</v>
      </c>
      <c r="E55" s="2" t="s">
        <v>507</v>
      </c>
      <c r="F55" s="2"/>
      <c r="G55" s="2" t="s">
        <v>517</v>
      </c>
      <c r="H55" s="2" t="s">
        <v>170</v>
      </c>
      <c r="I55" s="2" t="s">
        <v>509</v>
      </c>
      <c r="J55" s="2" t="s">
        <v>81</v>
      </c>
      <c r="K55" s="2" t="s">
        <v>160</v>
      </c>
      <c r="L55" s="2" t="s">
        <v>47</v>
      </c>
      <c r="M55" s="2" t="s">
        <v>48</v>
      </c>
      <c r="N55" s="2" t="s">
        <v>81</v>
      </c>
      <c r="O55" s="2" t="s">
        <v>49</v>
      </c>
      <c r="P55" s="2" t="s">
        <v>50</v>
      </c>
      <c r="Q55" s="3"/>
      <c r="R55" s="3">
        <v>46268</v>
      </c>
      <c r="S55" s="3"/>
      <c r="T55" s="3"/>
      <c r="U55" s="2" t="s">
        <v>82</v>
      </c>
      <c r="V55" s="2" t="s">
        <v>49</v>
      </c>
      <c r="W55" s="2">
        <f t="shared" ca="1" si="1"/>
        <v>15</v>
      </c>
      <c r="X55" s="2" t="s">
        <v>83</v>
      </c>
      <c r="Y55" s="2"/>
      <c r="Z55" s="2"/>
      <c r="AA55" s="2" t="s">
        <v>102</v>
      </c>
      <c r="AB55" s="2" t="s">
        <v>54</v>
      </c>
      <c r="AC55" s="2" t="s">
        <v>55</v>
      </c>
      <c r="AD55" s="2" t="s">
        <v>518</v>
      </c>
      <c r="AE55" s="2" t="s">
        <v>519</v>
      </c>
      <c r="AF55" s="2" t="s">
        <v>520</v>
      </c>
      <c r="AG55" s="2" t="s">
        <v>127</v>
      </c>
      <c r="AH55" s="2" t="s">
        <v>521</v>
      </c>
      <c r="AI55" s="2"/>
      <c r="AJ55" s="2" t="s">
        <v>108</v>
      </c>
      <c r="AK55" s="2"/>
    </row>
    <row r="56" spans="1:37" ht="43.2" hidden="1" x14ac:dyDescent="0.3">
      <c r="A56" s="2" t="s">
        <v>522</v>
      </c>
      <c r="B56" s="2" t="s">
        <v>523</v>
      </c>
      <c r="C56" s="2" t="s">
        <v>524</v>
      </c>
      <c r="D56" s="2" t="s">
        <v>155</v>
      </c>
      <c r="E56" s="2" t="s">
        <v>507</v>
      </c>
      <c r="F56" s="2"/>
      <c r="G56" s="2" t="s">
        <v>525</v>
      </c>
      <c r="H56" s="2" t="s">
        <v>170</v>
      </c>
      <c r="I56" s="2" t="s">
        <v>509</v>
      </c>
      <c r="J56" s="2" t="s">
        <v>81</v>
      </c>
      <c r="K56" s="2" t="s">
        <v>160</v>
      </c>
      <c r="L56" s="2" t="s">
        <v>47</v>
      </c>
      <c r="M56" s="2" t="s">
        <v>48</v>
      </c>
      <c r="N56" s="2" t="s">
        <v>81</v>
      </c>
      <c r="O56" s="2" t="s">
        <v>49</v>
      </c>
      <c r="P56" s="2" t="s">
        <v>50</v>
      </c>
      <c r="Q56" s="3"/>
      <c r="R56" s="3">
        <v>46268</v>
      </c>
      <c r="S56" s="3"/>
      <c r="T56" s="3"/>
      <c r="U56" s="2" t="s">
        <v>82</v>
      </c>
      <c r="V56" s="2" t="s">
        <v>49</v>
      </c>
      <c r="W56" s="2">
        <f t="shared" ca="1" si="1"/>
        <v>15</v>
      </c>
      <c r="X56" s="2" t="s">
        <v>83</v>
      </c>
      <c r="Y56" s="2"/>
      <c r="Z56" s="2"/>
      <c r="AA56" s="2" t="s">
        <v>102</v>
      </c>
      <c r="AB56" s="2" t="s">
        <v>54</v>
      </c>
      <c r="AC56" s="2" t="s">
        <v>55</v>
      </c>
      <c r="AD56" s="2" t="s">
        <v>526</v>
      </c>
      <c r="AE56" s="2" t="s">
        <v>527</v>
      </c>
      <c r="AF56" s="2" t="s">
        <v>528</v>
      </c>
      <c r="AG56" s="2" t="s">
        <v>127</v>
      </c>
      <c r="AH56" s="2" t="s">
        <v>529</v>
      </c>
      <c r="AI56" s="2"/>
      <c r="AJ56" s="2" t="s">
        <v>108</v>
      </c>
      <c r="AK56" s="2"/>
    </row>
    <row r="57" spans="1:37" ht="43.2" hidden="1" x14ac:dyDescent="0.3">
      <c r="A57" s="2" t="s">
        <v>530</v>
      </c>
      <c r="B57" s="2" t="s">
        <v>531</v>
      </c>
      <c r="C57" s="2" t="s">
        <v>532</v>
      </c>
      <c r="D57" s="2" t="s">
        <v>155</v>
      </c>
      <c r="E57" s="2" t="s">
        <v>507</v>
      </c>
      <c r="F57" s="2"/>
      <c r="G57" s="2" t="s">
        <v>533</v>
      </c>
      <c r="H57" s="2" t="s">
        <v>170</v>
      </c>
      <c r="I57" s="2" t="s">
        <v>509</v>
      </c>
      <c r="J57" s="2" t="s">
        <v>81</v>
      </c>
      <c r="K57" s="2" t="s">
        <v>160</v>
      </c>
      <c r="L57" s="2" t="s">
        <v>47</v>
      </c>
      <c r="M57" s="2" t="s">
        <v>48</v>
      </c>
      <c r="N57" s="2" t="s">
        <v>81</v>
      </c>
      <c r="O57" s="2" t="s">
        <v>49</v>
      </c>
      <c r="P57" s="2" t="s">
        <v>50</v>
      </c>
      <c r="Q57" s="3"/>
      <c r="R57" s="3">
        <v>46268</v>
      </c>
      <c r="S57" s="3"/>
      <c r="T57" s="3"/>
      <c r="U57" s="2" t="s">
        <v>82</v>
      </c>
      <c r="V57" s="2" t="s">
        <v>49</v>
      </c>
      <c r="W57" s="2">
        <f t="shared" ca="1" si="1"/>
        <v>15</v>
      </c>
      <c r="X57" s="2" t="s">
        <v>83</v>
      </c>
      <c r="Y57" s="2"/>
      <c r="Z57" s="2"/>
      <c r="AA57" s="2" t="s">
        <v>102</v>
      </c>
      <c r="AB57" s="2" t="s">
        <v>54</v>
      </c>
      <c r="AC57" s="2" t="s">
        <v>55</v>
      </c>
      <c r="AD57" s="2" t="s">
        <v>534</v>
      </c>
      <c r="AE57" s="2" t="s">
        <v>535</v>
      </c>
      <c r="AF57" s="2" t="s">
        <v>536</v>
      </c>
      <c r="AG57" s="2" t="s">
        <v>127</v>
      </c>
      <c r="AH57" s="2" t="s">
        <v>537</v>
      </c>
      <c r="AI57" s="2"/>
      <c r="AJ57" s="2" t="s">
        <v>108</v>
      </c>
      <c r="AK57" s="2"/>
    </row>
    <row r="58" spans="1:37" ht="43.2" hidden="1" x14ac:dyDescent="0.3">
      <c r="A58" s="2" t="s">
        <v>538</v>
      </c>
      <c r="B58" s="2" t="s">
        <v>539</v>
      </c>
      <c r="C58" s="2" t="s">
        <v>540</v>
      </c>
      <c r="D58" s="2" t="s">
        <v>155</v>
      </c>
      <c r="E58" s="2" t="s">
        <v>507</v>
      </c>
      <c r="F58" s="2"/>
      <c r="G58" s="2" t="s">
        <v>541</v>
      </c>
      <c r="H58" s="2" t="s">
        <v>170</v>
      </c>
      <c r="I58" s="2" t="s">
        <v>509</v>
      </c>
      <c r="J58" s="2" t="s">
        <v>81</v>
      </c>
      <c r="K58" s="2" t="s">
        <v>160</v>
      </c>
      <c r="L58" s="2" t="s">
        <v>47</v>
      </c>
      <c r="M58" s="2" t="s">
        <v>48</v>
      </c>
      <c r="N58" s="2" t="s">
        <v>81</v>
      </c>
      <c r="O58" s="2" t="s">
        <v>49</v>
      </c>
      <c r="P58" s="2" t="s">
        <v>50</v>
      </c>
      <c r="Q58" s="3"/>
      <c r="R58" s="3">
        <v>46268</v>
      </c>
      <c r="S58" s="3"/>
      <c r="T58" s="3"/>
      <c r="U58" s="2" t="s">
        <v>82</v>
      </c>
      <c r="V58" s="2" t="s">
        <v>49</v>
      </c>
      <c r="W58" s="2">
        <f t="shared" ca="1" si="1"/>
        <v>15</v>
      </c>
      <c r="X58" s="2" t="s">
        <v>83</v>
      </c>
      <c r="Y58" s="2"/>
      <c r="Z58" s="2"/>
      <c r="AA58" s="2" t="s">
        <v>102</v>
      </c>
      <c r="AB58" s="2" t="s">
        <v>54</v>
      </c>
      <c r="AC58" s="2" t="s">
        <v>55</v>
      </c>
      <c r="AD58" s="2" t="s">
        <v>542</v>
      </c>
      <c r="AE58" s="2" t="s">
        <v>543</v>
      </c>
      <c r="AF58" s="2" t="s">
        <v>544</v>
      </c>
      <c r="AG58" s="2" t="s">
        <v>88</v>
      </c>
      <c r="AH58" s="2" t="s">
        <v>545</v>
      </c>
      <c r="AI58" s="2"/>
      <c r="AJ58" s="2" t="s">
        <v>108</v>
      </c>
      <c r="AK58" s="2"/>
    </row>
    <row r="59" spans="1:37" ht="43.2" hidden="1" x14ac:dyDescent="0.3">
      <c r="A59" s="2" t="s">
        <v>546</v>
      </c>
      <c r="B59" s="2" t="s">
        <v>547</v>
      </c>
      <c r="C59" s="2" t="s">
        <v>548</v>
      </c>
      <c r="D59" s="2" t="s">
        <v>155</v>
      </c>
      <c r="E59" s="2" t="s">
        <v>507</v>
      </c>
      <c r="F59" s="2"/>
      <c r="G59" s="2" t="s">
        <v>549</v>
      </c>
      <c r="H59" s="2" t="s">
        <v>170</v>
      </c>
      <c r="I59" s="2" t="s">
        <v>509</v>
      </c>
      <c r="J59" s="2" t="s">
        <v>146</v>
      </c>
      <c r="K59" s="2" t="s">
        <v>46</v>
      </c>
      <c r="L59" s="2" t="s">
        <v>47</v>
      </c>
      <c r="M59" s="2" t="s">
        <v>48</v>
      </c>
      <c r="N59" s="2" t="s">
        <v>45</v>
      </c>
      <c r="O59" s="2" t="s">
        <v>49</v>
      </c>
      <c r="P59" s="2" t="s">
        <v>50</v>
      </c>
      <c r="Q59" s="3"/>
      <c r="R59" s="3">
        <v>46268</v>
      </c>
      <c r="S59" s="3"/>
      <c r="T59" s="3"/>
      <c r="U59" s="2" t="s">
        <v>82</v>
      </c>
      <c r="V59" s="2" t="s">
        <v>49</v>
      </c>
      <c r="W59" s="2">
        <f t="shared" ca="1" si="1"/>
        <v>15</v>
      </c>
      <c r="X59" s="2" t="s">
        <v>83</v>
      </c>
      <c r="Y59" s="2"/>
      <c r="Z59" s="2"/>
      <c r="AA59" s="2" t="s">
        <v>102</v>
      </c>
      <c r="AB59" s="2" t="s">
        <v>54</v>
      </c>
      <c r="AC59" s="2" t="s">
        <v>55</v>
      </c>
      <c r="AD59" s="2" t="s">
        <v>550</v>
      </c>
      <c r="AE59" s="2" t="s">
        <v>551</v>
      </c>
      <c r="AF59" s="2" t="s">
        <v>552</v>
      </c>
      <c r="AG59" s="2" t="s">
        <v>127</v>
      </c>
      <c r="AH59" s="2" t="s">
        <v>553</v>
      </c>
      <c r="AI59" s="2"/>
      <c r="AJ59" s="2" t="s">
        <v>108</v>
      </c>
      <c r="AK59" s="2"/>
    </row>
    <row r="60" spans="1:37" ht="43.2" hidden="1" x14ac:dyDescent="0.3">
      <c r="A60" s="2" t="s">
        <v>554</v>
      </c>
      <c r="B60" s="2" t="s">
        <v>555</v>
      </c>
      <c r="C60" s="2" t="s">
        <v>556</v>
      </c>
      <c r="D60" s="2" t="s">
        <v>155</v>
      </c>
      <c r="E60" s="2" t="s">
        <v>507</v>
      </c>
      <c r="F60" s="2"/>
      <c r="G60" s="2" t="s">
        <v>557</v>
      </c>
      <c r="H60" s="2" t="s">
        <v>170</v>
      </c>
      <c r="I60" s="2" t="s">
        <v>509</v>
      </c>
      <c r="J60" s="2" t="s">
        <v>146</v>
      </c>
      <c r="K60" s="2" t="s">
        <v>46</v>
      </c>
      <c r="L60" s="2" t="s">
        <v>47</v>
      </c>
      <c r="M60" s="2" t="s">
        <v>48</v>
      </c>
      <c r="N60" s="2" t="s">
        <v>45</v>
      </c>
      <c r="O60" s="2" t="s">
        <v>49</v>
      </c>
      <c r="P60" s="2" t="s">
        <v>50</v>
      </c>
      <c r="Q60" s="3"/>
      <c r="R60" s="3">
        <v>46268</v>
      </c>
      <c r="S60" s="3"/>
      <c r="T60" s="3"/>
      <c r="U60" s="2" t="s">
        <v>82</v>
      </c>
      <c r="V60" s="2" t="s">
        <v>49</v>
      </c>
      <c r="W60" s="2">
        <f t="shared" ca="1" si="1"/>
        <v>15</v>
      </c>
      <c r="X60" s="2" t="s">
        <v>83</v>
      </c>
      <c r="Y60" s="2"/>
      <c r="Z60" s="2"/>
      <c r="AA60" s="2" t="s">
        <v>102</v>
      </c>
      <c r="AB60" s="2" t="s">
        <v>54</v>
      </c>
      <c r="AC60" s="2" t="s">
        <v>55</v>
      </c>
      <c r="AD60" s="2" t="s">
        <v>558</v>
      </c>
      <c r="AE60" s="2" t="s">
        <v>559</v>
      </c>
      <c r="AF60" s="2" t="s">
        <v>552</v>
      </c>
      <c r="AG60" s="2" t="s">
        <v>127</v>
      </c>
      <c r="AH60" s="2" t="s">
        <v>560</v>
      </c>
      <c r="AI60" s="2"/>
      <c r="AJ60" s="2" t="s">
        <v>108</v>
      </c>
      <c r="AK60" s="2"/>
    </row>
    <row r="61" spans="1:37" ht="57.6" hidden="1" x14ac:dyDescent="0.3">
      <c r="A61" s="2" t="s">
        <v>561</v>
      </c>
      <c r="B61" s="2" t="s">
        <v>562</v>
      </c>
      <c r="C61" s="2" t="s">
        <v>563</v>
      </c>
      <c r="D61" s="2" t="s">
        <v>155</v>
      </c>
      <c r="E61" s="2" t="s">
        <v>65</v>
      </c>
      <c r="F61" s="2"/>
      <c r="G61" s="2" t="s">
        <v>564</v>
      </c>
      <c r="H61" s="2" t="s">
        <v>170</v>
      </c>
      <c r="I61" s="2" t="s">
        <v>67</v>
      </c>
      <c r="J61" s="2" t="s">
        <v>81</v>
      </c>
      <c r="K61" s="2" t="s">
        <v>160</v>
      </c>
      <c r="L61" s="2" t="s">
        <v>47</v>
      </c>
      <c r="M61" s="2" t="s">
        <v>48</v>
      </c>
      <c r="N61" s="2" t="s">
        <v>45</v>
      </c>
      <c r="O61" s="2" t="s">
        <v>49</v>
      </c>
      <c r="P61" s="2" t="s">
        <v>50</v>
      </c>
      <c r="Q61" s="3"/>
      <c r="R61" s="3">
        <v>46268</v>
      </c>
      <c r="S61" s="3"/>
      <c r="T61" s="3"/>
      <c r="U61" s="2" t="s">
        <v>51</v>
      </c>
      <c r="V61" s="2" t="s">
        <v>49</v>
      </c>
      <c r="W61" s="2">
        <f t="shared" ca="1" si="1"/>
        <v>15</v>
      </c>
      <c r="X61" s="2" t="s">
        <v>52</v>
      </c>
      <c r="Y61" s="2"/>
      <c r="Z61" s="2"/>
      <c r="AA61" s="2" t="s">
        <v>53</v>
      </c>
      <c r="AB61" s="2" t="s">
        <v>54</v>
      </c>
      <c r="AC61" s="2" t="s">
        <v>55</v>
      </c>
      <c r="AD61" s="2" t="s">
        <v>565</v>
      </c>
      <c r="AE61" s="2" t="s">
        <v>566</v>
      </c>
      <c r="AF61" s="2" t="s">
        <v>567</v>
      </c>
      <c r="AG61" s="2" t="s">
        <v>150</v>
      </c>
      <c r="AH61" s="2" t="s">
        <v>568</v>
      </c>
      <c r="AI61" s="2"/>
      <c r="AJ61" s="2"/>
      <c r="AK61" s="2" t="s">
        <v>74</v>
      </c>
    </row>
    <row r="62" spans="1:37" ht="43.2" hidden="1" x14ac:dyDescent="0.3">
      <c r="A62" s="2" t="s">
        <v>569</v>
      </c>
      <c r="B62" s="2" t="s">
        <v>570</v>
      </c>
      <c r="C62" s="2" t="s">
        <v>571</v>
      </c>
      <c r="D62" s="2" t="s">
        <v>155</v>
      </c>
      <c r="E62" s="2" t="s">
        <v>65</v>
      </c>
      <c r="F62" s="2"/>
      <c r="G62" s="2" t="s">
        <v>572</v>
      </c>
      <c r="H62" s="2" t="s">
        <v>170</v>
      </c>
      <c r="I62" s="2" t="s">
        <v>67</v>
      </c>
      <c r="J62" s="2" t="s">
        <v>81</v>
      </c>
      <c r="K62" s="2" t="s">
        <v>160</v>
      </c>
      <c r="L62" s="2" t="s">
        <v>47</v>
      </c>
      <c r="M62" s="2" t="s">
        <v>48</v>
      </c>
      <c r="N62" s="2" t="s">
        <v>45</v>
      </c>
      <c r="O62" s="2" t="s">
        <v>49</v>
      </c>
      <c r="P62" s="2" t="s">
        <v>50</v>
      </c>
      <c r="Q62" s="3"/>
      <c r="R62" s="3">
        <v>46268</v>
      </c>
      <c r="S62" s="3"/>
      <c r="T62" s="3"/>
      <c r="U62" s="2" t="s">
        <v>51</v>
      </c>
      <c r="V62" s="2" t="s">
        <v>49</v>
      </c>
      <c r="W62" s="2">
        <f t="shared" ca="1" si="1"/>
        <v>15</v>
      </c>
      <c r="X62" s="2" t="s">
        <v>52</v>
      </c>
      <c r="Y62" s="2"/>
      <c r="Z62" s="2"/>
      <c r="AA62" s="2" t="s">
        <v>53</v>
      </c>
      <c r="AB62" s="2" t="s">
        <v>54</v>
      </c>
      <c r="AC62" s="2" t="s">
        <v>55</v>
      </c>
      <c r="AD62" s="2" t="s">
        <v>573</v>
      </c>
      <c r="AE62" s="2" t="s">
        <v>574</v>
      </c>
      <c r="AF62" s="2" t="s">
        <v>575</v>
      </c>
      <c r="AG62" s="2" t="s">
        <v>116</v>
      </c>
      <c r="AH62" s="2" t="s">
        <v>576</v>
      </c>
      <c r="AI62" s="2"/>
      <c r="AJ62" s="2"/>
      <c r="AK62" s="2" t="s">
        <v>74</v>
      </c>
    </row>
    <row r="63" spans="1:37" ht="43.2" hidden="1" x14ac:dyDescent="0.3">
      <c r="A63" s="2" t="s">
        <v>577</v>
      </c>
      <c r="B63" s="2" t="s">
        <v>578</v>
      </c>
      <c r="C63" s="2" t="s">
        <v>579</v>
      </c>
      <c r="D63" s="2" t="s">
        <v>155</v>
      </c>
      <c r="E63" s="2" t="s">
        <v>65</v>
      </c>
      <c r="F63" s="2"/>
      <c r="G63" s="2" t="s">
        <v>580</v>
      </c>
      <c r="H63" s="2" t="s">
        <v>170</v>
      </c>
      <c r="I63" s="2" t="s">
        <v>67</v>
      </c>
      <c r="J63" s="2" t="s">
        <v>81</v>
      </c>
      <c r="K63" s="2" t="s">
        <v>160</v>
      </c>
      <c r="L63" s="2" t="s">
        <v>47</v>
      </c>
      <c r="M63" s="2" t="s">
        <v>48</v>
      </c>
      <c r="N63" s="2" t="s">
        <v>45</v>
      </c>
      <c r="O63" s="2" t="s">
        <v>49</v>
      </c>
      <c r="P63" s="2" t="s">
        <v>50</v>
      </c>
      <c r="Q63" s="3"/>
      <c r="R63" s="3">
        <v>46268</v>
      </c>
      <c r="S63" s="3"/>
      <c r="T63" s="3"/>
      <c r="U63" s="2" t="s">
        <v>51</v>
      </c>
      <c r="V63" s="2" t="s">
        <v>49</v>
      </c>
      <c r="W63" s="2">
        <f t="shared" ca="1" si="1"/>
        <v>15</v>
      </c>
      <c r="X63" s="2" t="s">
        <v>52</v>
      </c>
      <c r="Y63" s="2"/>
      <c r="Z63" s="2"/>
      <c r="AA63" s="2" t="s">
        <v>53</v>
      </c>
      <c r="AB63" s="2" t="s">
        <v>54</v>
      </c>
      <c r="AC63" s="2" t="s">
        <v>55</v>
      </c>
      <c r="AD63" s="2" t="s">
        <v>581</v>
      </c>
      <c r="AE63" s="2" t="s">
        <v>582</v>
      </c>
      <c r="AF63" s="2" t="s">
        <v>583</v>
      </c>
      <c r="AG63" s="2" t="s">
        <v>116</v>
      </c>
      <c r="AH63" s="2" t="s">
        <v>584</v>
      </c>
      <c r="AI63" s="2"/>
      <c r="AJ63" s="2"/>
      <c r="AK63" s="2" t="s">
        <v>74</v>
      </c>
    </row>
    <row r="64" spans="1:37" ht="43.2" hidden="1" x14ac:dyDescent="0.3">
      <c r="A64" s="2" t="s">
        <v>585</v>
      </c>
      <c r="B64" s="2" t="s">
        <v>586</v>
      </c>
      <c r="C64" s="2" t="s">
        <v>587</v>
      </c>
      <c r="D64" s="2" t="s">
        <v>155</v>
      </c>
      <c r="E64" s="2" t="s">
        <v>65</v>
      </c>
      <c r="F64" s="2"/>
      <c r="G64" s="2" t="s">
        <v>588</v>
      </c>
      <c r="H64" s="2" t="s">
        <v>170</v>
      </c>
      <c r="I64" s="2" t="s">
        <v>67</v>
      </c>
      <c r="J64" s="2" t="s">
        <v>81</v>
      </c>
      <c r="K64" s="2" t="s">
        <v>160</v>
      </c>
      <c r="L64" s="2" t="s">
        <v>47</v>
      </c>
      <c r="M64" s="2" t="s">
        <v>48</v>
      </c>
      <c r="N64" s="2" t="s">
        <v>68</v>
      </c>
      <c r="O64" s="2" t="s">
        <v>49</v>
      </c>
      <c r="P64" s="2" t="s">
        <v>50</v>
      </c>
      <c r="Q64" s="3"/>
      <c r="R64" s="3">
        <v>46269</v>
      </c>
      <c r="S64" s="3"/>
      <c r="T64" s="3"/>
      <c r="U64" s="2" t="s">
        <v>51</v>
      </c>
      <c r="V64" s="2" t="s">
        <v>49</v>
      </c>
      <c r="W64" s="2">
        <f t="shared" ca="1" si="1"/>
        <v>14</v>
      </c>
      <c r="X64" s="2" t="s">
        <v>52</v>
      </c>
      <c r="Y64" s="2"/>
      <c r="Z64" s="2"/>
      <c r="AA64" s="2" t="s">
        <v>53</v>
      </c>
      <c r="AB64" s="2" t="s">
        <v>54</v>
      </c>
      <c r="AC64" s="2" t="s">
        <v>55</v>
      </c>
      <c r="AD64" s="2" t="s">
        <v>589</v>
      </c>
      <c r="AE64" s="2" t="s">
        <v>590</v>
      </c>
      <c r="AF64" s="2" t="s">
        <v>591</v>
      </c>
      <c r="AG64" s="2" t="s">
        <v>116</v>
      </c>
      <c r="AH64" s="2" t="s">
        <v>592</v>
      </c>
      <c r="AI64" s="2"/>
      <c r="AJ64" s="2"/>
      <c r="AK64" s="2" t="s">
        <v>74</v>
      </c>
    </row>
    <row r="65" spans="1:37" ht="43.2" x14ac:dyDescent="0.3">
      <c r="A65" s="2" t="s">
        <v>593</v>
      </c>
      <c r="B65" s="2" t="s">
        <v>594</v>
      </c>
      <c r="C65" s="2" t="s">
        <v>595</v>
      </c>
      <c r="D65" s="2" t="s">
        <v>155</v>
      </c>
      <c r="E65" s="2" t="s">
        <v>65</v>
      </c>
      <c r="F65" s="2"/>
      <c r="G65" s="2" t="s">
        <v>596</v>
      </c>
      <c r="H65" s="2" t="s">
        <v>170</v>
      </c>
      <c r="I65" s="2" t="s">
        <v>67</v>
      </c>
      <c r="J65" s="2" t="s">
        <v>146</v>
      </c>
      <c r="K65" s="2" t="s">
        <v>46</v>
      </c>
      <c r="L65" s="2" t="s">
        <v>180</v>
      </c>
      <c r="M65" s="2" t="s">
        <v>181</v>
      </c>
      <c r="N65" s="2" t="s">
        <v>68</v>
      </c>
      <c r="O65" s="2" t="s">
        <v>182</v>
      </c>
      <c r="P65" s="2" t="s">
        <v>50</v>
      </c>
      <c r="Q65" s="3"/>
      <c r="R65" s="3"/>
      <c r="S65" s="3"/>
      <c r="T65" s="3"/>
      <c r="U65" s="2" t="s">
        <v>82</v>
      </c>
      <c r="V65" s="2" t="s">
        <v>185</v>
      </c>
      <c r="W65" s="2" t="str">
        <f t="shared" ca="1" si="1"/>
        <v/>
      </c>
      <c r="X65" s="2" t="s">
        <v>83</v>
      </c>
      <c r="Y65" s="2"/>
      <c r="Z65" s="2"/>
      <c r="AA65" s="2"/>
      <c r="AB65" s="2" t="s">
        <v>54</v>
      </c>
      <c r="AC65" s="2" t="s">
        <v>55</v>
      </c>
      <c r="AD65" s="2" t="s">
        <v>597</v>
      </c>
      <c r="AE65" s="2" t="s">
        <v>598</v>
      </c>
      <c r="AF65" s="2" t="s">
        <v>599</v>
      </c>
      <c r="AG65" s="2" t="s">
        <v>600</v>
      </c>
      <c r="AH65" s="2" t="s">
        <v>190</v>
      </c>
      <c r="AI65" s="2"/>
      <c r="AJ65" s="2"/>
      <c r="AK65" s="2"/>
    </row>
    <row r="66" spans="1:37" ht="43.2" x14ac:dyDescent="0.3">
      <c r="A66" s="2" t="s">
        <v>601</v>
      </c>
      <c r="B66" s="2" t="s">
        <v>602</v>
      </c>
      <c r="C66" s="2" t="s">
        <v>603</v>
      </c>
      <c r="D66" s="2" t="s">
        <v>155</v>
      </c>
      <c r="E66" s="2" t="s">
        <v>65</v>
      </c>
      <c r="F66" s="2"/>
      <c r="G66" s="2" t="s">
        <v>604</v>
      </c>
      <c r="H66" s="2" t="s">
        <v>170</v>
      </c>
      <c r="I66" s="2" t="s">
        <v>67</v>
      </c>
      <c r="J66" s="2" t="s">
        <v>81</v>
      </c>
      <c r="K66" s="2" t="s">
        <v>160</v>
      </c>
      <c r="L66" s="2" t="s">
        <v>180</v>
      </c>
      <c r="M66" s="2" t="s">
        <v>181</v>
      </c>
      <c r="N66" s="2" t="s">
        <v>68</v>
      </c>
      <c r="O66" s="2" t="s">
        <v>182</v>
      </c>
      <c r="P66" s="2" t="s">
        <v>50</v>
      </c>
      <c r="Q66" s="3"/>
      <c r="R66" s="3"/>
      <c r="S66" s="3"/>
      <c r="T66" s="3"/>
      <c r="U66" s="2" t="s">
        <v>82</v>
      </c>
      <c r="V66" s="2" t="s">
        <v>185</v>
      </c>
      <c r="W66" s="2" t="str">
        <f t="shared" ref="W66:W86" ca="1" si="2">IF(R66="","",TODAY()-R66)</f>
        <v/>
      </c>
      <c r="X66" s="2" t="s">
        <v>83</v>
      </c>
      <c r="Y66" s="2"/>
      <c r="Z66" s="2"/>
      <c r="AA66" s="2"/>
      <c r="AB66" s="2" t="s">
        <v>54</v>
      </c>
      <c r="AC66" s="2" t="s">
        <v>55</v>
      </c>
      <c r="AD66" s="2" t="s">
        <v>605</v>
      </c>
      <c r="AE66" s="2" t="s">
        <v>606</v>
      </c>
      <c r="AF66" s="2" t="s">
        <v>607</v>
      </c>
      <c r="AG66" s="2" t="s">
        <v>608</v>
      </c>
      <c r="AH66" s="2" t="s">
        <v>190</v>
      </c>
      <c r="AI66" s="2"/>
      <c r="AJ66" s="2"/>
      <c r="AK66" s="2"/>
    </row>
    <row r="67" spans="1:37" ht="43.2" x14ac:dyDescent="0.3">
      <c r="A67" s="2" t="s">
        <v>609</v>
      </c>
      <c r="B67" s="2" t="s">
        <v>610</v>
      </c>
      <c r="C67" s="2" t="s">
        <v>611</v>
      </c>
      <c r="D67" s="2" t="s">
        <v>155</v>
      </c>
      <c r="E67" s="2" t="s">
        <v>65</v>
      </c>
      <c r="F67" s="2"/>
      <c r="G67" s="2" t="s">
        <v>612</v>
      </c>
      <c r="H67" s="2" t="s">
        <v>170</v>
      </c>
      <c r="I67" s="2" t="s">
        <v>67</v>
      </c>
      <c r="J67" s="2" t="s">
        <v>81</v>
      </c>
      <c r="K67" s="2" t="s">
        <v>160</v>
      </c>
      <c r="L67" s="2" t="s">
        <v>180</v>
      </c>
      <c r="M67" s="2" t="s">
        <v>181</v>
      </c>
      <c r="N67" s="2" t="s">
        <v>68</v>
      </c>
      <c r="O67" s="2" t="s">
        <v>182</v>
      </c>
      <c r="P67" s="2" t="s">
        <v>50</v>
      </c>
      <c r="Q67" s="3"/>
      <c r="R67" s="3"/>
      <c r="S67" s="3"/>
      <c r="T67" s="3"/>
      <c r="U67" s="2" t="s">
        <v>82</v>
      </c>
      <c r="V67" s="2" t="s">
        <v>185</v>
      </c>
      <c r="W67" s="2" t="str">
        <f t="shared" ca="1" si="2"/>
        <v/>
      </c>
      <c r="X67" s="2" t="s">
        <v>83</v>
      </c>
      <c r="Y67" s="2"/>
      <c r="Z67" s="2"/>
      <c r="AA67" s="2"/>
      <c r="AB67" s="2" t="s">
        <v>54</v>
      </c>
      <c r="AC67" s="2" t="s">
        <v>55</v>
      </c>
      <c r="AD67" s="2" t="s">
        <v>613</v>
      </c>
      <c r="AE67" s="2" t="s">
        <v>614</v>
      </c>
      <c r="AF67" s="2" t="s">
        <v>599</v>
      </c>
      <c r="AG67" s="2" t="s">
        <v>600</v>
      </c>
      <c r="AH67" s="2" t="s">
        <v>190</v>
      </c>
      <c r="AI67" s="2"/>
      <c r="AJ67" s="2"/>
      <c r="AK67" s="2"/>
    </row>
    <row r="68" spans="1:37" s="7" customFormat="1" ht="43.2" x14ac:dyDescent="0.3">
      <c r="A68" s="5" t="s">
        <v>615</v>
      </c>
      <c r="B68" s="5" t="s">
        <v>616</v>
      </c>
      <c r="C68" s="5" t="s">
        <v>617</v>
      </c>
      <c r="D68" s="5" t="s">
        <v>155</v>
      </c>
      <c r="E68" s="5" t="s">
        <v>65</v>
      </c>
      <c r="F68" s="5"/>
      <c r="G68" s="5" t="s">
        <v>618</v>
      </c>
      <c r="H68" s="5" t="s">
        <v>170</v>
      </c>
      <c r="I68" s="5" t="s">
        <v>67</v>
      </c>
      <c r="J68" s="5" t="s">
        <v>81</v>
      </c>
      <c r="K68" s="5" t="s">
        <v>160</v>
      </c>
      <c r="L68" s="5" t="s">
        <v>180</v>
      </c>
      <c r="M68" s="5" t="s">
        <v>181</v>
      </c>
      <c r="N68" s="5" t="s">
        <v>68</v>
      </c>
      <c r="O68" s="5" t="s">
        <v>182</v>
      </c>
      <c r="P68" s="5" t="s">
        <v>50</v>
      </c>
      <c r="Q68" s="6"/>
      <c r="R68" s="6"/>
      <c r="S68" s="6"/>
      <c r="T68" s="6"/>
      <c r="U68" s="5" t="s">
        <v>82</v>
      </c>
      <c r="V68" s="5" t="s">
        <v>185</v>
      </c>
      <c r="W68" s="5" t="str">
        <f t="shared" ca="1" si="2"/>
        <v/>
      </c>
      <c r="X68" s="5" t="s">
        <v>83</v>
      </c>
      <c r="Y68" s="5"/>
      <c r="Z68" s="5"/>
      <c r="AA68" s="5"/>
      <c r="AB68" s="5" t="s">
        <v>54</v>
      </c>
      <c r="AC68" s="5" t="s">
        <v>55</v>
      </c>
      <c r="AD68" s="5" t="s">
        <v>619</v>
      </c>
      <c r="AE68" s="5" t="s">
        <v>620</v>
      </c>
      <c r="AF68" s="5" t="s">
        <v>621</v>
      </c>
      <c r="AG68" s="5" t="s">
        <v>622</v>
      </c>
      <c r="AH68" s="5" t="s">
        <v>190</v>
      </c>
      <c r="AI68" s="5"/>
      <c r="AJ68" s="5"/>
      <c r="AK68" s="5"/>
    </row>
    <row r="69" spans="1:37" ht="43.2" hidden="1" x14ac:dyDescent="0.3">
      <c r="A69" s="2" t="s">
        <v>623</v>
      </c>
      <c r="B69" s="2" t="s">
        <v>624</v>
      </c>
      <c r="C69" s="2" t="s">
        <v>625</v>
      </c>
      <c r="D69" s="2" t="s">
        <v>155</v>
      </c>
      <c r="E69" s="2" t="s">
        <v>65</v>
      </c>
      <c r="F69" s="2"/>
      <c r="G69" s="2" t="s">
        <v>626</v>
      </c>
      <c r="H69" s="2" t="s">
        <v>170</v>
      </c>
      <c r="I69" s="2" t="s">
        <v>67</v>
      </c>
      <c r="J69" s="2" t="s">
        <v>81</v>
      </c>
      <c r="K69" s="2" t="s">
        <v>160</v>
      </c>
      <c r="L69" s="2" t="s">
        <v>47</v>
      </c>
      <c r="M69" s="2" t="s">
        <v>48</v>
      </c>
      <c r="N69" s="2" t="s">
        <v>81</v>
      </c>
      <c r="O69" s="2" t="s">
        <v>49</v>
      </c>
      <c r="P69" s="2" t="s">
        <v>50</v>
      </c>
      <c r="Q69" s="3"/>
      <c r="R69" s="3">
        <v>46268</v>
      </c>
      <c r="S69" s="3"/>
      <c r="T69" s="3"/>
      <c r="U69" s="2" t="s">
        <v>82</v>
      </c>
      <c r="V69" s="2" t="s">
        <v>49</v>
      </c>
      <c r="W69" s="2">
        <f t="shared" ca="1" si="2"/>
        <v>15</v>
      </c>
      <c r="X69" s="2" t="s">
        <v>52</v>
      </c>
      <c r="Y69" s="2"/>
      <c r="Z69" s="2"/>
      <c r="AA69" s="2" t="s">
        <v>53</v>
      </c>
      <c r="AB69" s="2" t="s">
        <v>54</v>
      </c>
      <c r="AC69" s="2" t="s">
        <v>55</v>
      </c>
      <c r="AD69" s="2" t="s">
        <v>627</v>
      </c>
      <c r="AE69" s="2" t="s">
        <v>628</v>
      </c>
      <c r="AF69" s="2" t="s">
        <v>629</v>
      </c>
      <c r="AG69" s="2" t="s">
        <v>116</v>
      </c>
      <c r="AH69" s="2" t="s">
        <v>630</v>
      </c>
      <c r="AI69" s="2"/>
      <c r="AJ69" s="2"/>
      <c r="AK69" s="2" t="s">
        <v>631</v>
      </c>
    </row>
    <row r="70" spans="1:37" ht="86.4" hidden="1" x14ac:dyDescent="0.3">
      <c r="A70" s="2" t="s">
        <v>632</v>
      </c>
      <c r="B70" s="2" t="s">
        <v>633</v>
      </c>
      <c r="C70" s="2" t="s">
        <v>634</v>
      </c>
      <c r="D70" s="2" t="s">
        <v>155</v>
      </c>
      <c r="E70" s="2" t="s">
        <v>635</v>
      </c>
      <c r="F70" s="2"/>
      <c r="G70" s="2" t="s">
        <v>636</v>
      </c>
      <c r="H70" s="2" t="s">
        <v>170</v>
      </c>
      <c r="I70" s="2" t="s">
        <v>637</v>
      </c>
      <c r="J70" s="2" t="s">
        <v>81</v>
      </c>
      <c r="K70" s="2" t="s">
        <v>160</v>
      </c>
      <c r="L70" s="2" t="s">
        <v>47</v>
      </c>
      <c r="M70" s="2" t="s">
        <v>48</v>
      </c>
      <c r="N70" s="2" t="s">
        <v>81</v>
      </c>
      <c r="O70" s="2" t="s">
        <v>49</v>
      </c>
      <c r="P70" s="2" t="s">
        <v>50</v>
      </c>
      <c r="Q70" s="3"/>
      <c r="R70" s="3">
        <v>46269</v>
      </c>
      <c r="S70" s="3"/>
      <c r="T70" s="3"/>
      <c r="U70" s="2" t="s">
        <v>82</v>
      </c>
      <c r="V70" s="2" t="s">
        <v>49</v>
      </c>
      <c r="W70" s="2">
        <f t="shared" ca="1" si="2"/>
        <v>14</v>
      </c>
      <c r="X70" s="2" t="s">
        <v>52</v>
      </c>
      <c r="Y70" s="2"/>
      <c r="Z70" s="2"/>
      <c r="AA70" s="2" t="s">
        <v>186</v>
      </c>
      <c r="AB70" s="2" t="s">
        <v>54</v>
      </c>
      <c r="AC70" s="2" t="s">
        <v>55</v>
      </c>
      <c r="AD70" s="2" t="s">
        <v>638</v>
      </c>
      <c r="AE70" s="2" t="s">
        <v>639</v>
      </c>
      <c r="AF70" s="2" t="s">
        <v>640</v>
      </c>
      <c r="AG70" s="2" t="s">
        <v>127</v>
      </c>
      <c r="AH70" s="2" t="s">
        <v>641</v>
      </c>
      <c r="AI70" s="2"/>
      <c r="AJ70" s="2" t="s">
        <v>108</v>
      </c>
      <c r="AK70" s="2" t="s">
        <v>642</v>
      </c>
    </row>
    <row r="71" spans="1:37" ht="100.8" hidden="1" x14ac:dyDescent="0.3">
      <c r="A71" s="2" t="s">
        <v>643</v>
      </c>
      <c r="B71" s="2" t="s">
        <v>644</v>
      </c>
      <c r="C71" s="2" t="s">
        <v>645</v>
      </c>
      <c r="D71" s="2" t="s">
        <v>155</v>
      </c>
      <c r="E71" s="2" t="s">
        <v>635</v>
      </c>
      <c r="F71" s="2"/>
      <c r="G71" s="2" t="s">
        <v>646</v>
      </c>
      <c r="H71" s="2" t="s">
        <v>170</v>
      </c>
      <c r="I71" s="2" t="s">
        <v>637</v>
      </c>
      <c r="J71" s="2" t="s">
        <v>81</v>
      </c>
      <c r="K71" s="2" t="s">
        <v>160</v>
      </c>
      <c r="L71" s="2" t="s">
        <v>47</v>
      </c>
      <c r="M71" s="2" t="s">
        <v>48</v>
      </c>
      <c r="N71" s="2" t="s">
        <v>81</v>
      </c>
      <c r="O71" s="2" t="s">
        <v>49</v>
      </c>
      <c r="P71" s="2" t="s">
        <v>50</v>
      </c>
      <c r="Q71" s="3"/>
      <c r="R71" s="3">
        <v>46269</v>
      </c>
      <c r="S71" s="3"/>
      <c r="T71" s="3"/>
      <c r="U71" s="2" t="s">
        <v>82</v>
      </c>
      <c r="V71" s="2" t="s">
        <v>49</v>
      </c>
      <c r="W71" s="2">
        <f t="shared" ca="1" si="2"/>
        <v>14</v>
      </c>
      <c r="X71" s="2" t="s">
        <v>52</v>
      </c>
      <c r="Y71" s="2"/>
      <c r="Z71" s="2"/>
      <c r="AA71" s="2" t="s">
        <v>186</v>
      </c>
      <c r="AB71" s="2" t="s">
        <v>54</v>
      </c>
      <c r="AC71" s="2" t="s">
        <v>55</v>
      </c>
      <c r="AD71" s="2" t="s">
        <v>647</v>
      </c>
      <c r="AE71" s="2" t="s">
        <v>648</v>
      </c>
      <c r="AF71" s="2" t="s">
        <v>649</v>
      </c>
      <c r="AG71" s="2" t="s">
        <v>127</v>
      </c>
      <c r="AH71" s="2" t="s">
        <v>650</v>
      </c>
      <c r="AI71" s="2"/>
      <c r="AJ71" s="2" t="s">
        <v>108</v>
      </c>
      <c r="AK71" s="2"/>
    </row>
    <row r="72" spans="1:37" ht="129.6" hidden="1" x14ac:dyDescent="0.3">
      <c r="A72" s="2" t="s">
        <v>651</v>
      </c>
      <c r="B72" s="2" t="s">
        <v>652</v>
      </c>
      <c r="C72" s="2" t="s">
        <v>653</v>
      </c>
      <c r="D72" s="2" t="s">
        <v>155</v>
      </c>
      <c r="E72" s="2" t="s">
        <v>635</v>
      </c>
      <c r="F72" s="2"/>
      <c r="G72" s="2" t="s">
        <v>654</v>
      </c>
      <c r="H72" s="2" t="s">
        <v>170</v>
      </c>
      <c r="I72" s="2" t="s">
        <v>637</v>
      </c>
      <c r="J72" s="2" t="s">
        <v>81</v>
      </c>
      <c r="K72" s="2" t="s">
        <v>160</v>
      </c>
      <c r="L72" s="2" t="s">
        <v>47</v>
      </c>
      <c r="M72" s="2" t="s">
        <v>48</v>
      </c>
      <c r="N72" s="2" t="s">
        <v>45</v>
      </c>
      <c r="O72" s="2" t="s">
        <v>49</v>
      </c>
      <c r="P72" s="2" t="s">
        <v>50</v>
      </c>
      <c r="Q72" s="3"/>
      <c r="R72" s="3">
        <v>46269</v>
      </c>
      <c r="S72" s="3"/>
      <c r="T72" s="3"/>
      <c r="U72" s="2" t="s">
        <v>82</v>
      </c>
      <c r="V72" s="2" t="s">
        <v>49</v>
      </c>
      <c r="W72" s="2">
        <f t="shared" ca="1" si="2"/>
        <v>14</v>
      </c>
      <c r="X72" s="2" t="s">
        <v>52</v>
      </c>
      <c r="Y72" s="2"/>
      <c r="Z72" s="2"/>
      <c r="AA72" s="2" t="s">
        <v>186</v>
      </c>
      <c r="AB72" s="2" t="s">
        <v>54</v>
      </c>
      <c r="AC72" s="2" t="s">
        <v>55</v>
      </c>
      <c r="AD72" s="2" t="s">
        <v>655</v>
      </c>
      <c r="AE72" s="2" t="s">
        <v>656</v>
      </c>
      <c r="AF72" s="2" t="s">
        <v>657</v>
      </c>
      <c r="AG72" s="2" t="s">
        <v>658</v>
      </c>
      <c r="AH72" s="2" t="s">
        <v>659</v>
      </c>
      <c r="AI72" s="2"/>
      <c r="AJ72" s="2" t="s">
        <v>108</v>
      </c>
      <c r="AK72" s="2"/>
    </row>
    <row r="73" spans="1:37" ht="43.2" hidden="1" x14ac:dyDescent="0.3">
      <c r="A73" s="2" t="s">
        <v>660</v>
      </c>
      <c r="B73" s="2" t="s">
        <v>661</v>
      </c>
      <c r="C73" s="2" t="s">
        <v>662</v>
      </c>
      <c r="D73" s="2" t="s">
        <v>155</v>
      </c>
      <c r="E73" s="2" t="s">
        <v>635</v>
      </c>
      <c r="F73" s="2"/>
      <c r="G73" s="2" t="s">
        <v>663</v>
      </c>
      <c r="H73" s="2" t="s">
        <v>170</v>
      </c>
      <c r="I73" s="2" t="s">
        <v>637</v>
      </c>
      <c r="J73" s="2" t="s">
        <v>81</v>
      </c>
      <c r="K73" s="2" t="s">
        <v>160</v>
      </c>
      <c r="L73" s="2" t="s">
        <v>47</v>
      </c>
      <c r="M73" s="2" t="s">
        <v>48</v>
      </c>
      <c r="N73" s="2" t="s">
        <v>81</v>
      </c>
      <c r="O73" s="2" t="s">
        <v>49</v>
      </c>
      <c r="P73" s="2" t="s">
        <v>50</v>
      </c>
      <c r="Q73" s="3"/>
      <c r="R73" s="3">
        <v>46269</v>
      </c>
      <c r="S73" s="3"/>
      <c r="T73" s="3"/>
      <c r="U73" s="2" t="s">
        <v>82</v>
      </c>
      <c r="V73" s="2" t="s">
        <v>49</v>
      </c>
      <c r="W73" s="2">
        <f t="shared" ca="1" si="2"/>
        <v>14</v>
      </c>
      <c r="X73" s="2" t="s">
        <v>52</v>
      </c>
      <c r="Y73" s="2"/>
      <c r="Z73" s="2"/>
      <c r="AA73" s="2" t="s">
        <v>102</v>
      </c>
      <c r="AB73" s="2" t="s">
        <v>54</v>
      </c>
      <c r="AC73" s="2" t="s">
        <v>55</v>
      </c>
      <c r="AD73" s="2" t="s">
        <v>664</v>
      </c>
      <c r="AE73" s="2" t="s">
        <v>665</v>
      </c>
      <c r="AF73" s="2" t="s">
        <v>666</v>
      </c>
      <c r="AG73" s="2" t="s">
        <v>72</v>
      </c>
      <c r="AH73" s="2" t="s">
        <v>667</v>
      </c>
      <c r="AI73" s="2"/>
      <c r="AJ73" s="2" t="s">
        <v>108</v>
      </c>
      <c r="AK73" s="2"/>
    </row>
    <row r="74" spans="1:37" s="7" customFormat="1" ht="43.2" x14ac:dyDescent="0.3">
      <c r="A74" s="5" t="s">
        <v>668</v>
      </c>
      <c r="B74" s="5" t="s">
        <v>669</v>
      </c>
      <c r="C74" s="5" t="s">
        <v>670</v>
      </c>
      <c r="D74" s="5" t="s">
        <v>155</v>
      </c>
      <c r="E74" s="5" t="s">
        <v>635</v>
      </c>
      <c r="F74" s="5"/>
      <c r="G74" s="5" t="s">
        <v>671</v>
      </c>
      <c r="H74" s="5" t="s">
        <v>170</v>
      </c>
      <c r="I74" s="5" t="s">
        <v>637</v>
      </c>
      <c r="J74" s="5" t="s">
        <v>81</v>
      </c>
      <c r="K74" s="5" t="s">
        <v>160</v>
      </c>
      <c r="L74" s="5" t="s">
        <v>180</v>
      </c>
      <c r="M74" s="5" t="s">
        <v>181</v>
      </c>
      <c r="N74" s="5" t="s">
        <v>68</v>
      </c>
      <c r="O74" s="5" t="s">
        <v>182</v>
      </c>
      <c r="P74" s="5" t="s">
        <v>50</v>
      </c>
      <c r="Q74" s="6"/>
      <c r="R74" s="6">
        <v>46269</v>
      </c>
      <c r="S74" s="6"/>
      <c r="T74" s="6"/>
      <c r="U74" s="5" t="s">
        <v>82</v>
      </c>
      <c r="V74" s="5" t="s">
        <v>185</v>
      </c>
      <c r="W74" s="5">
        <f t="shared" ca="1" si="2"/>
        <v>14</v>
      </c>
      <c r="X74" s="5" t="s">
        <v>52</v>
      </c>
      <c r="Y74" s="5"/>
      <c r="Z74" s="5"/>
      <c r="AA74" s="5" t="s">
        <v>102</v>
      </c>
      <c r="AB74" s="5" t="s">
        <v>54</v>
      </c>
      <c r="AC74" s="5" t="s">
        <v>55</v>
      </c>
      <c r="AD74" s="5" t="s">
        <v>672</v>
      </c>
      <c r="AE74" s="5" t="s">
        <v>673</v>
      </c>
      <c r="AF74" s="5" t="s">
        <v>674</v>
      </c>
      <c r="AG74" s="5" t="s">
        <v>675</v>
      </c>
      <c r="AH74" s="5" t="s">
        <v>190</v>
      </c>
      <c r="AI74" s="5"/>
      <c r="AJ74" s="5"/>
      <c r="AK74" s="5"/>
    </row>
    <row r="75" spans="1:37" ht="43.2" hidden="1" x14ac:dyDescent="0.3">
      <c r="A75" s="2" t="s">
        <v>676</v>
      </c>
      <c r="B75" s="2" t="s">
        <v>677</v>
      </c>
      <c r="C75" s="2" t="s">
        <v>678</v>
      </c>
      <c r="D75" s="2" t="s">
        <v>155</v>
      </c>
      <c r="E75" s="2" t="s">
        <v>635</v>
      </c>
      <c r="F75" s="2"/>
      <c r="G75" s="2" t="s">
        <v>679</v>
      </c>
      <c r="H75" s="2" t="s">
        <v>170</v>
      </c>
      <c r="I75" s="2" t="s">
        <v>637</v>
      </c>
      <c r="J75" s="2" t="s">
        <v>81</v>
      </c>
      <c r="K75" s="2" t="s">
        <v>160</v>
      </c>
      <c r="L75" s="2" t="s">
        <v>47</v>
      </c>
      <c r="M75" s="2" t="s">
        <v>48</v>
      </c>
      <c r="N75" s="2" t="s">
        <v>81</v>
      </c>
      <c r="O75" s="2" t="s">
        <v>49</v>
      </c>
      <c r="P75" s="2" t="s">
        <v>50</v>
      </c>
      <c r="Q75" s="3"/>
      <c r="R75" s="3">
        <v>46269</v>
      </c>
      <c r="S75" s="3"/>
      <c r="T75" s="3"/>
      <c r="U75" s="2" t="s">
        <v>82</v>
      </c>
      <c r="V75" s="2" t="s">
        <v>49</v>
      </c>
      <c r="W75" s="2">
        <f t="shared" ca="1" si="2"/>
        <v>14</v>
      </c>
      <c r="X75" s="2" t="s">
        <v>52</v>
      </c>
      <c r="Y75" s="2"/>
      <c r="Z75" s="2"/>
      <c r="AA75" s="2" t="s">
        <v>102</v>
      </c>
      <c r="AB75" s="2" t="s">
        <v>54</v>
      </c>
      <c r="AC75" s="2" t="s">
        <v>55</v>
      </c>
      <c r="AD75" s="2" t="s">
        <v>680</v>
      </c>
      <c r="AE75" s="2" t="s">
        <v>681</v>
      </c>
      <c r="AF75" s="2" t="s">
        <v>682</v>
      </c>
      <c r="AG75" s="2" t="s">
        <v>683</v>
      </c>
      <c r="AH75" s="2" t="s">
        <v>684</v>
      </c>
      <c r="AI75" s="2"/>
      <c r="AJ75" s="2" t="s">
        <v>108</v>
      </c>
      <c r="AK75" s="2"/>
    </row>
    <row r="76" spans="1:37" ht="43.2" hidden="1" x14ac:dyDescent="0.3">
      <c r="A76" s="2" t="s">
        <v>685</v>
      </c>
      <c r="B76" s="2" t="s">
        <v>686</v>
      </c>
      <c r="C76" s="2" t="s">
        <v>687</v>
      </c>
      <c r="D76" s="2" t="s">
        <v>155</v>
      </c>
      <c r="E76" s="2" t="s">
        <v>635</v>
      </c>
      <c r="F76" s="2"/>
      <c r="G76" s="2" t="s">
        <v>688</v>
      </c>
      <c r="H76" s="2" t="s">
        <v>170</v>
      </c>
      <c r="I76" s="2" t="s">
        <v>637</v>
      </c>
      <c r="J76" s="2" t="s">
        <v>81</v>
      </c>
      <c r="K76" s="2" t="s">
        <v>160</v>
      </c>
      <c r="L76" s="2" t="s">
        <v>47</v>
      </c>
      <c r="M76" s="2" t="s">
        <v>48</v>
      </c>
      <c r="N76" s="2" t="s">
        <v>81</v>
      </c>
      <c r="O76" s="2" t="s">
        <v>49</v>
      </c>
      <c r="P76" s="2" t="s">
        <v>50</v>
      </c>
      <c r="Q76" s="3"/>
      <c r="R76" s="3">
        <v>46269</v>
      </c>
      <c r="S76" s="3"/>
      <c r="T76" s="3"/>
      <c r="U76" s="2" t="s">
        <v>82</v>
      </c>
      <c r="V76" s="2" t="s">
        <v>49</v>
      </c>
      <c r="W76" s="2">
        <f t="shared" ca="1" si="2"/>
        <v>14</v>
      </c>
      <c r="X76" s="2" t="s">
        <v>52</v>
      </c>
      <c r="Y76" s="2"/>
      <c r="Z76" s="2"/>
      <c r="AA76" s="2" t="s">
        <v>102</v>
      </c>
      <c r="AB76" s="2" t="s">
        <v>54</v>
      </c>
      <c r="AC76" s="2" t="s">
        <v>55</v>
      </c>
      <c r="AD76" s="2" t="s">
        <v>689</v>
      </c>
      <c r="AE76" s="2" t="s">
        <v>690</v>
      </c>
      <c r="AF76" s="2" t="s">
        <v>691</v>
      </c>
      <c r="AG76" s="2" t="s">
        <v>150</v>
      </c>
      <c r="AH76" s="2" t="s">
        <v>692</v>
      </c>
      <c r="AI76" s="2"/>
      <c r="AJ76" s="2" t="s">
        <v>108</v>
      </c>
      <c r="AK76" s="2"/>
    </row>
    <row r="77" spans="1:37" ht="43.2" x14ac:dyDescent="0.3">
      <c r="A77" s="2" t="s">
        <v>693</v>
      </c>
      <c r="B77" s="2" t="s">
        <v>694</v>
      </c>
      <c r="C77" s="2" t="s">
        <v>695</v>
      </c>
      <c r="D77" s="2" t="s">
        <v>155</v>
      </c>
      <c r="E77" s="2" t="s">
        <v>635</v>
      </c>
      <c r="F77" s="2"/>
      <c r="G77" s="2" t="s">
        <v>696</v>
      </c>
      <c r="H77" s="2" t="s">
        <v>170</v>
      </c>
      <c r="I77" s="2" t="s">
        <v>637</v>
      </c>
      <c r="J77" s="2" t="s">
        <v>81</v>
      </c>
      <c r="K77" s="2" t="s">
        <v>160</v>
      </c>
      <c r="L77" s="2" t="s">
        <v>180</v>
      </c>
      <c r="M77" s="2" t="s">
        <v>181</v>
      </c>
      <c r="N77" s="2" t="s">
        <v>68</v>
      </c>
      <c r="O77" s="2" t="s">
        <v>182</v>
      </c>
      <c r="P77" s="2" t="s">
        <v>50</v>
      </c>
      <c r="Q77" s="3"/>
      <c r="R77" s="3">
        <v>46269</v>
      </c>
      <c r="S77" s="3"/>
      <c r="T77" s="3"/>
      <c r="U77" s="2" t="s">
        <v>82</v>
      </c>
      <c r="V77" s="2" t="s">
        <v>185</v>
      </c>
      <c r="W77" s="2">
        <f t="shared" ca="1" si="2"/>
        <v>14</v>
      </c>
      <c r="X77" s="2" t="s">
        <v>52</v>
      </c>
      <c r="Y77" s="2"/>
      <c r="Z77" s="2"/>
      <c r="AA77" s="2" t="s">
        <v>102</v>
      </c>
      <c r="AB77" s="2" t="s">
        <v>54</v>
      </c>
      <c r="AC77" s="2" t="s">
        <v>55</v>
      </c>
      <c r="AD77" s="2" t="s">
        <v>697</v>
      </c>
      <c r="AE77" s="2" t="s">
        <v>698</v>
      </c>
      <c r="AF77" s="2" t="s">
        <v>699</v>
      </c>
      <c r="AG77" s="2" t="s">
        <v>700</v>
      </c>
      <c r="AH77" s="2" t="s">
        <v>190</v>
      </c>
      <c r="AI77" s="2"/>
      <c r="AJ77" s="2"/>
      <c r="AK77" s="2"/>
    </row>
    <row r="78" spans="1:37" ht="43.2" x14ac:dyDescent="0.3">
      <c r="A78" s="2" t="s">
        <v>701</v>
      </c>
      <c r="B78" s="2" t="s">
        <v>702</v>
      </c>
      <c r="C78" s="2" t="s">
        <v>703</v>
      </c>
      <c r="D78" s="2" t="s">
        <v>155</v>
      </c>
      <c r="E78" s="2" t="s">
        <v>635</v>
      </c>
      <c r="F78" s="2"/>
      <c r="G78" s="2" t="s">
        <v>704</v>
      </c>
      <c r="H78" s="2" t="s">
        <v>170</v>
      </c>
      <c r="I78" s="2" t="s">
        <v>637</v>
      </c>
      <c r="J78" s="2" t="s">
        <v>81</v>
      </c>
      <c r="K78" s="2" t="s">
        <v>160</v>
      </c>
      <c r="L78" s="2" t="s">
        <v>180</v>
      </c>
      <c r="M78" s="2" t="s">
        <v>181</v>
      </c>
      <c r="N78" s="2" t="s">
        <v>68</v>
      </c>
      <c r="O78" s="2" t="s">
        <v>182</v>
      </c>
      <c r="P78" s="2" t="s">
        <v>50</v>
      </c>
      <c r="Q78" s="3"/>
      <c r="R78" s="3">
        <v>46269</v>
      </c>
      <c r="S78" s="3"/>
      <c r="T78" s="3"/>
      <c r="U78" s="2" t="s">
        <v>82</v>
      </c>
      <c r="V78" s="2" t="s">
        <v>185</v>
      </c>
      <c r="W78" s="2">
        <f t="shared" ca="1" si="2"/>
        <v>14</v>
      </c>
      <c r="X78" s="2" t="s">
        <v>52</v>
      </c>
      <c r="Y78" s="2"/>
      <c r="Z78" s="2"/>
      <c r="AA78" s="2" t="s">
        <v>102</v>
      </c>
      <c r="AB78" s="2" t="s">
        <v>54</v>
      </c>
      <c r="AC78" s="2" t="s">
        <v>55</v>
      </c>
      <c r="AD78" s="2" t="s">
        <v>705</v>
      </c>
      <c r="AE78" s="2" t="s">
        <v>706</v>
      </c>
      <c r="AF78" s="2" t="s">
        <v>707</v>
      </c>
      <c r="AG78" s="2" t="s">
        <v>708</v>
      </c>
      <c r="AH78" s="2" t="s">
        <v>190</v>
      </c>
      <c r="AI78" s="2"/>
      <c r="AJ78" s="2"/>
      <c r="AK78" s="2"/>
    </row>
    <row r="79" spans="1:37" ht="43.2" hidden="1" x14ac:dyDescent="0.3">
      <c r="A79" s="2" t="s">
        <v>709</v>
      </c>
      <c r="B79" s="2" t="s">
        <v>710</v>
      </c>
      <c r="C79" s="2" t="s">
        <v>711</v>
      </c>
      <c r="D79" s="2" t="s">
        <v>155</v>
      </c>
      <c r="E79" s="2" t="s">
        <v>635</v>
      </c>
      <c r="F79" s="2"/>
      <c r="G79" s="2" t="s">
        <v>712</v>
      </c>
      <c r="H79" s="2" t="s">
        <v>170</v>
      </c>
      <c r="I79" s="2" t="s">
        <v>637</v>
      </c>
      <c r="J79" s="2" t="s">
        <v>81</v>
      </c>
      <c r="K79" s="2" t="s">
        <v>160</v>
      </c>
      <c r="L79" s="2" t="s">
        <v>47</v>
      </c>
      <c r="M79" s="2" t="s">
        <v>48</v>
      </c>
      <c r="N79" s="2" t="s">
        <v>81</v>
      </c>
      <c r="O79" s="2" t="s">
        <v>49</v>
      </c>
      <c r="P79" s="2" t="s">
        <v>50</v>
      </c>
      <c r="Q79" s="3"/>
      <c r="R79" s="3">
        <v>46269</v>
      </c>
      <c r="S79" s="3"/>
      <c r="T79" s="3"/>
      <c r="U79" s="2" t="s">
        <v>82</v>
      </c>
      <c r="V79" s="2" t="s">
        <v>49</v>
      </c>
      <c r="W79" s="2">
        <f t="shared" ca="1" si="2"/>
        <v>14</v>
      </c>
      <c r="X79" s="2" t="s">
        <v>52</v>
      </c>
      <c r="Y79" s="2"/>
      <c r="Z79" s="2"/>
      <c r="AA79" s="2" t="s">
        <v>102</v>
      </c>
      <c r="AB79" s="2" t="s">
        <v>54</v>
      </c>
      <c r="AC79" s="2" t="s">
        <v>55</v>
      </c>
      <c r="AD79" s="2" t="s">
        <v>713</v>
      </c>
      <c r="AE79" s="2" t="s">
        <v>714</v>
      </c>
      <c r="AF79" s="2" t="s">
        <v>715</v>
      </c>
      <c r="AG79" s="2" t="s">
        <v>127</v>
      </c>
      <c r="AH79" s="2" t="s">
        <v>716</v>
      </c>
      <c r="AI79" s="2"/>
      <c r="AJ79" s="2" t="s">
        <v>108</v>
      </c>
      <c r="AK79" s="2"/>
    </row>
    <row r="80" spans="1:37" ht="43.2" hidden="1" x14ac:dyDescent="0.3">
      <c r="A80" s="2" t="s">
        <v>717</v>
      </c>
      <c r="B80" s="2" t="s">
        <v>718</v>
      </c>
      <c r="C80" s="2" t="s">
        <v>719</v>
      </c>
      <c r="D80" s="2" t="s">
        <v>155</v>
      </c>
      <c r="E80" s="2" t="s">
        <v>720</v>
      </c>
      <c r="F80" s="2"/>
      <c r="G80" s="2" t="s">
        <v>721</v>
      </c>
      <c r="H80" s="2" t="s">
        <v>170</v>
      </c>
      <c r="I80" s="2" t="s">
        <v>722</v>
      </c>
      <c r="J80" s="2" t="s">
        <v>81</v>
      </c>
      <c r="K80" s="2" t="s">
        <v>160</v>
      </c>
      <c r="L80" s="2" t="s">
        <v>47</v>
      </c>
      <c r="M80" s="2" t="s">
        <v>48</v>
      </c>
      <c r="N80" s="2" t="s">
        <v>81</v>
      </c>
      <c r="O80" s="2" t="s">
        <v>49</v>
      </c>
      <c r="P80" s="2" t="s">
        <v>50</v>
      </c>
      <c r="Q80" s="3"/>
      <c r="R80" s="3"/>
      <c r="S80" s="3"/>
      <c r="T80" s="3"/>
      <c r="U80" s="2" t="s">
        <v>82</v>
      </c>
      <c r="V80" s="2" t="s">
        <v>49</v>
      </c>
      <c r="W80" s="2" t="str">
        <f t="shared" ca="1" si="2"/>
        <v/>
      </c>
      <c r="X80" s="2" t="s">
        <v>83</v>
      </c>
      <c r="Y80" s="2"/>
      <c r="Z80" s="2"/>
      <c r="AA80" s="2" t="s">
        <v>84</v>
      </c>
      <c r="AB80" s="2" t="s">
        <v>54</v>
      </c>
      <c r="AC80" s="2" t="s">
        <v>55</v>
      </c>
      <c r="AD80" s="2" t="s">
        <v>723</v>
      </c>
      <c r="AE80" s="2" t="s">
        <v>724</v>
      </c>
      <c r="AF80" s="2" t="s">
        <v>725</v>
      </c>
      <c r="AG80" s="2" t="s">
        <v>72</v>
      </c>
      <c r="AH80" s="2" t="s">
        <v>726</v>
      </c>
      <c r="AI80" s="2"/>
      <c r="AJ80" s="2"/>
      <c r="AK80" s="2"/>
    </row>
    <row r="81" spans="1:37" ht="43.2" hidden="1" x14ac:dyDescent="0.3">
      <c r="A81" s="2" t="s">
        <v>727</v>
      </c>
      <c r="B81" s="2" t="s">
        <v>728</v>
      </c>
      <c r="C81" s="2" t="s">
        <v>729</v>
      </c>
      <c r="D81" s="2" t="s">
        <v>155</v>
      </c>
      <c r="E81" s="2" t="s">
        <v>720</v>
      </c>
      <c r="F81" s="2"/>
      <c r="G81" s="2" t="s">
        <v>730</v>
      </c>
      <c r="H81" s="2" t="s">
        <v>170</v>
      </c>
      <c r="I81" s="2" t="s">
        <v>722</v>
      </c>
      <c r="J81" s="2" t="s">
        <v>81</v>
      </c>
      <c r="K81" s="2" t="s">
        <v>160</v>
      </c>
      <c r="L81" s="2" t="s">
        <v>47</v>
      </c>
      <c r="M81" s="2" t="s">
        <v>48</v>
      </c>
      <c r="N81" s="2" t="s">
        <v>45</v>
      </c>
      <c r="O81" s="2" t="s">
        <v>49</v>
      </c>
      <c r="P81" s="2" t="s">
        <v>50</v>
      </c>
      <c r="Q81" s="3"/>
      <c r="R81" s="3">
        <v>46269</v>
      </c>
      <c r="S81" s="3"/>
      <c r="T81" s="3"/>
      <c r="U81" s="2" t="s">
        <v>51</v>
      </c>
      <c r="V81" s="2" t="s">
        <v>49</v>
      </c>
      <c r="W81" s="2">
        <f t="shared" ca="1" si="2"/>
        <v>14</v>
      </c>
      <c r="X81" s="2" t="s">
        <v>52</v>
      </c>
      <c r="Y81" s="2"/>
      <c r="Z81" s="2"/>
      <c r="AA81" s="2" t="s">
        <v>53</v>
      </c>
      <c r="AB81" s="2" t="s">
        <v>54</v>
      </c>
      <c r="AC81" s="2" t="s">
        <v>55</v>
      </c>
      <c r="AD81" s="2" t="s">
        <v>731</v>
      </c>
      <c r="AE81" s="2" t="s">
        <v>732</v>
      </c>
      <c r="AF81" s="2" t="s">
        <v>733</v>
      </c>
      <c r="AG81" s="2" t="s">
        <v>127</v>
      </c>
      <c r="AH81" s="2" t="s">
        <v>734</v>
      </c>
      <c r="AI81" s="2"/>
      <c r="AJ81" s="2"/>
      <c r="AK81" s="2" t="s">
        <v>735</v>
      </c>
    </row>
    <row r="82" spans="1:37" ht="43.2" hidden="1" x14ac:dyDescent="0.3">
      <c r="A82" s="2" t="s">
        <v>736</v>
      </c>
      <c r="B82" s="2" t="s">
        <v>737</v>
      </c>
      <c r="C82" s="2" t="s">
        <v>738</v>
      </c>
      <c r="D82" s="2" t="s">
        <v>155</v>
      </c>
      <c r="E82" s="2" t="s">
        <v>720</v>
      </c>
      <c r="F82" s="2"/>
      <c r="G82" s="2" t="s">
        <v>739</v>
      </c>
      <c r="H82" s="2" t="s">
        <v>170</v>
      </c>
      <c r="I82" s="2" t="s">
        <v>722</v>
      </c>
      <c r="J82" s="2" t="s">
        <v>81</v>
      </c>
      <c r="K82" s="2" t="s">
        <v>160</v>
      </c>
      <c r="L82" s="2" t="s">
        <v>47</v>
      </c>
      <c r="M82" s="2" t="s">
        <v>48</v>
      </c>
      <c r="N82" s="2" t="s">
        <v>45</v>
      </c>
      <c r="O82" s="2" t="s">
        <v>49</v>
      </c>
      <c r="P82" s="2" t="s">
        <v>50</v>
      </c>
      <c r="Q82" s="3"/>
      <c r="R82" s="3">
        <v>46269</v>
      </c>
      <c r="S82" s="3"/>
      <c r="T82" s="3"/>
      <c r="U82" s="2" t="s">
        <v>51</v>
      </c>
      <c r="V82" s="2" t="s">
        <v>49</v>
      </c>
      <c r="W82" s="2">
        <f t="shared" ca="1" si="2"/>
        <v>14</v>
      </c>
      <c r="X82" s="2" t="s">
        <v>52</v>
      </c>
      <c r="Y82" s="2"/>
      <c r="Z82" s="2"/>
      <c r="AA82" s="2" t="s">
        <v>53</v>
      </c>
      <c r="AB82" s="2" t="s">
        <v>54</v>
      </c>
      <c r="AC82" s="2" t="s">
        <v>55</v>
      </c>
      <c r="AD82" s="2" t="s">
        <v>740</v>
      </c>
      <c r="AE82" s="2" t="s">
        <v>741</v>
      </c>
      <c r="AF82" s="2" t="s">
        <v>742</v>
      </c>
      <c r="AG82" s="2" t="s">
        <v>127</v>
      </c>
      <c r="AH82" s="2" t="s">
        <v>743</v>
      </c>
      <c r="AI82" s="2"/>
      <c r="AJ82" s="2"/>
      <c r="AK82" s="2" t="s">
        <v>735</v>
      </c>
    </row>
    <row r="83" spans="1:37" ht="43.2" hidden="1" x14ac:dyDescent="0.3">
      <c r="A83" s="2" t="s">
        <v>744</v>
      </c>
      <c r="B83" s="2" t="s">
        <v>745</v>
      </c>
      <c r="C83" s="2" t="s">
        <v>746</v>
      </c>
      <c r="D83" s="2" t="s">
        <v>155</v>
      </c>
      <c r="E83" s="2" t="s">
        <v>747</v>
      </c>
      <c r="F83" s="2"/>
      <c r="G83" s="2" t="s">
        <v>748</v>
      </c>
      <c r="H83" s="2" t="s">
        <v>170</v>
      </c>
      <c r="I83" s="2" t="s">
        <v>123</v>
      </c>
      <c r="J83" s="2" t="s">
        <v>81</v>
      </c>
      <c r="K83" s="2" t="s">
        <v>160</v>
      </c>
      <c r="L83" s="2" t="s">
        <v>47</v>
      </c>
      <c r="M83" s="2" t="s">
        <v>48</v>
      </c>
      <c r="N83" s="2" t="s">
        <v>81</v>
      </c>
      <c r="O83" s="2" t="s">
        <v>49</v>
      </c>
      <c r="P83" s="2" t="s">
        <v>50</v>
      </c>
      <c r="Q83" s="3"/>
      <c r="R83" s="3">
        <v>46268</v>
      </c>
      <c r="S83" s="3"/>
      <c r="T83" s="3"/>
      <c r="U83" s="2" t="s">
        <v>82</v>
      </c>
      <c r="V83" s="2" t="s">
        <v>49</v>
      </c>
      <c r="W83" s="2">
        <f t="shared" ca="1" si="2"/>
        <v>15</v>
      </c>
      <c r="X83" s="2" t="s">
        <v>83</v>
      </c>
      <c r="Y83" s="2"/>
      <c r="Z83" s="2"/>
      <c r="AA83" s="2" t="s">
        <v>102</v>
      </c>
      <c r="AB83" s="2" t="s">
        <v>54</v>
      </c>
      <c r="AC83" s="2" t="s">
        <v>55</v>
      </c>
      <c r="AD83" s="2" t="s">
        <v>749</v>
      </c>
      <c r="AE83" s="2" t="s">
        <v>750</v>
      </c>
      <c r="AF83" s="2" t="s">
        <v>751</v>
      </c>
      <c r="AG83" s="2" t="s">
        <v>752</v>
      </c>
      <c r="AH83" s="2" t="s">
        <v>753</v>
      </c>
      <c r="AI83" s="2"/>
      <c r="AJ83" s="2" t="s">
        <v>108</v>
      </c>
      <c r="AK83" s="2"/>
    </row>
    <row r="84" spans="1:37" ht="43.2" hidden="1" x14ac:dyDescent="0.3">
      <c r="A84" s="2" t="s">
        <v>754</v>
      </c>
      <c r="B84" s="2" t="s">
        <v>755</v>
      </c>
      <c r="C84" s="2" t="s">
        <v>756</v>
      </c>
      <c r="D84" s="2" t="s">
        <v>155</v>
      </c>
      <c r="E84" s="2" t="s">
        <v>747</v>
      </c>
      <c r="F84" s="2"/>
      <c r="G84" s="2" t="s">
        <v>757</v>
      </c>
      <c r="H84" s="2" t="s">
        <v>170</v>
      </c>
      <c r="I84" s="2" t="s">
        <v>123</v>
      </c>
      <c r="J84" s="2" t="s">
        <v>81</v>
      </c>
      <c r="K84" s="2" t="s">
        <v>160</v>
      </c>
      <c r="L84" s="2" t="s">
        <v>47</v>
      </c>
      <c r="M84" s="2" t="s">
        <v>48</v>
      </c>
      <c r="N84" s="2" t="s">
        <v>81</v>
      </c>
      <c r="O84" s="2" t="s">
        <v>49</v>
      </c>
      <c r="P84" s="2" t="s">
        <v>50</v>
      </c>
      <c r="Q84" s="3"/>
      <c r="R84" s="3">
        <v>46268</v>
      </c>
      <c r="S84" s="3"/>
      <c r="T84" s="3"/>
      <c r="U84" s="2" t="s">
        <v>82</v>
      </c>
      <c r="V84" s="2" t="s">
        <v>49</v>
      </c>
      <c r="W84" s="2">
        <f t="shared" ca="1" si="2"/>
        <v>15</v>
      </c>
      <c r="X84" s="2" t="s">
        <v>83</v>
      </c>
      <c r="Y84" s="2"/>
      <c r="Z84" s="2"/>
      <c r="AA84" s="2" t="s">
        <v>102</v>
      </c>
      <c r="AB84" s="2" t="s">
        <v>54</v>
      </c>
      <c r="AC84" s="2" t="s">
        <v>55</v>
      </c>
      <c r="AD84" s="2" t="s">
        <v>758</v>
      </c>
      <c r="AE84" s="2" t="s">
        <v>759</v>
      </c>
      <c r="AF84" s="2" t="s">
        <v>760</v>
      </c>
      <c r="AG84" s="2" t="s">
        <v>761</v>
      </c>
      <c r="AH84" s="2" t="s">
        <v>762</v>
      </c>
      <c r="AI84" s="2"/>
      <c r="AJ84" s="2" t="s">
        <v>108</v>
      </c>
      <c r="AK84" s="2"/>
    </row>
    <row r="85" spans="1:37" ht="72" hidden="1" x14ac:dyDescent="0.3">
      <c r="A85" s="2" t="s">
        <v>763</v>
      </c>
      <c r="B85" s="2" t="s">
        <v>764</v>
      </c>
      <c r="C85" s="2" t="s">
        <v>765</v>
      </c>
      <c r="D85" s="2" t="s">
        <v>155</v>
      </c>
      <c r="E85" s="2" t="s">
        <v>766</v>
      </c>
      <c r="F85" s="2"/>
      <c r="G85" s="2" t="s">
        <v>767</v>
      </c>
      <c r="H85" s="2" t="s">
        <v>170</v>
      </c>
      <c r="I85" s="2" t="s">
        <v>44</v>
      </c>
      <c r="J85" s="2" t="s">
        <v>81</v>
      </c>
      <c r="K85" s="2" t="s">
        <v>160</v>
      </c>
      <c r="L85" s="2" t="s">
        <v>47</v>
      </c>
      <c r="M85" s="2" t="s">
        <v>48</v>
      </c>
      <c r="N85" s="2" t="s">
        <v>45</v>
      </c>
      <c r="O85" s="2" t="s">
        <v>49</v>
      </c>
      <c r="P85" s="2" t="s">
        <v>50</v>
      </c>
      <c r="Q85" s="3"/>
      <c r="R85" s="3">
        <v>46266</v>
      </c>
      <c r="S85" s="3"/>
      <c r="T85" s="3"/>
      <c r="U85" s="2" t="s">
        <v>51</v>
      </c>
      <c r="V85" s="2" t="s">
        <v>49</v>
      </c>
      <c r="W85" s="2">
        <f t="shared" ca="1" si="2"/>
        <v>17</v>
      </c>
      <c r="X85" s="2" t="s">
        <v>52</v>
      </c>
      <c r="Y85" s="2"/>
      <c r="Z85" s="2"/>
      <c r="AA85" s="2" t="s">
        <v>53</v>
      </c>
      <c r="AB85" s="2" t="s">
        <v>54</v>
      </c>
      <c r="AC85" s="2" t="s">
        <v>55</v>
      </c>
      <c r="AD85" s="2" t="s">
        <v>768</v>
      </c>
      <c r="AE85" s="2" t="s">
        <v>769</v>
      </c>
      <c r="AF85" s="2" t="s">
        <v>770</v>
      </c>
      <c r="AG85" s="2" t="s">
        <v>771</v>
      </c>
      <c r="AH85" s="2" t="s">
        <v>772</v>
      </c>
      <c r="AI85" s="2"/>
      <c r="AJ85" s="2"/>
      <c r="AK85" s="2"/>
    </row>
    <row r="86" spans="1:37" ht="43.2" hidden="1" x14ac:dyDescent="0.3">
      <c r="A86" s="2" t="s">
        <v>773</v>
      </c>
      <c r="B86" s="2" t="s">
        <v>774</v>
      </c>
      <c r="C86" s="2" t="s">
        <v>775</v>
      </c>
      <c r="D86" s="2" t="s">
        <v>155</v>
      </c>
      <c r="E86" s="2" t="s">
        <v>766</v>
      </c>
      <c r="F86" s="2"/>
      <c r="G86" s="2" t="s">
        <v>776</v>
      </c>
      <c r="H86" s="2" t="s">
        <v>170</v>
      </c>
      <c r="I86" s="2" t="s">
        <v>44</v>
      </c>
      <c r="J86" s="2" t="s">
        <v>81</v>
      </c>
      <c r="K86" s="2" t="s">
        <v>160</v>
      </c>
      <c r="L86" s="2" t="s">
        <v>47</v>
      </c>
      <c r="M86" s="2" t="s">
        <v>48</v>
      </c>
      <c r="N86" s="2" t="s">
        <v>45</v>
      </c>
      <c r="O86" s="2" t="s">
        <v>49</v>
      </c>
      <c r="P86" s="2" t="s">
        <v>50</v>
      </c>
      <c r="Q86" s="3"/>
      <c r="R86" s="3">
        <v>46267</v>
      </c>
      <c r="S86" s="3"/>
      <c r="T86" s="3"/>
      <c r="U86" s="2" t="s">
        <v>51</v>
      </c>
      <c r="V86" s="2" t="s">
        <v>49</v>
      </c>
      <c r="W86" s="2">
        <f t="shared" ca="1" si="2"/>
        <v>16</v>
      </c>
      <c r="X86" s="2" t="s">
        <v>52</v>
      </c>
      <c r="Y86" s="2"/>
      <c r="Z86" s="2"/>
      <c r="AA86" s="2" t="s">
        <v>53</v>
      </c>
      <c r="AB86" s="2" t="s">
        <v>54</v>
      </c>
      <c r="AC86" s="2" t="s">
        <v>55</v>
      </c>
      <c r="AD86" s="2" t="s">
        <v>777</v>
      </c>
      <c r="AE86" s="2" t="s">
        <v>778</v>
      </c>
      <c r="AF86" s="2" t="s">
        <v>779</v>
      </c>
      <c r="AG86" s="2" t="s">
        <v>780</v>
      </c>
      <c r="AH86" s="2" t="s">
        <v>781</v>
      </c>
      <c r="AI86" s="2"/>
      <c r="AJ86" s="2"/>
      <c r="AK86" s="2"/>
    </row>
  </sheetData>
  <autoFilter ref="A1:AK86" xr:uid="{00000000-0009-0000-0000-000000000000}">
    <filterColumn colId="11">
      <filters>
        <filter val="N/A"/>
      </filters>
    </filterColumn>
  </autoFilter>
  <conditionalFormatting sqref="L2:L86">
    <cfRule type="expression" dxfId="3" priority="1">
      <formula>$L2="Failed"</formula>
    </cfRule>
    <cfRule type="expression" dxfId="2" priority="2">
      <formula>$L2="N/A"</formula>
    </cfRule>
  </conditionalFormatting>
  <conditionalFormatting sqref="O2:O86">
    <cfRule type="expression" dxfId="1" priority="4">
      <formula>$O2="Open"</formula>
    </cfRule>
  </conditionalFormatting>
  <conditionalFormatting sqref="V2:V86">
    <cfRule type="expression" dxfId="0" priority="3">
      <formula>$V2="Closed"</formula>
    </cfRule>
  </conditionalFormatting>
  <dataValidations count="4">
    <dataValidation type="list" allowBlank="1" sqref="N2:N86" xr:uid="{00000000-0002-0000-0000-000000000000}">
      <formula1>"Critical,High,Medium,Low"</formula1>
    </dataValidation>
    <dataValidation type="list" allowBlank="1" sqref="O2:O86" xr:uid="{00000000-0002-0000-0000-000001000000}">
      <formula1>"Open,In Progress,Fixed,Need Clarification,Deferred,Closed"</formula1>
    </dataValidation>
    <dataValidation type="list" allowBlank="1" sqref="U2:U86" xr:uid="{00000000-0002-0000-0000-000002000000}">
      <formula1>"Pending,Passed,Failed,Not Required,N/A Accepted"</formula1>
    </dataValidation>
    <dataValidation type="list" allowBlank="1" sqref="V2:V86" xr:uid="{00000000-0002-0000-0000-000003000000}">
      <formula1>"Open,Closed,Deferred,Scope Review Pending,Reopened"</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election activeCell="G8" sqref="G8"/>
    </sheetView>
  </sheetViews>
  <sheetFormatPr defaultRowHeight="14.4" x14ac:dyDescent="0.3"/>
  <cols>
    <col min="1" max="1" width="28" customWidth="1"/>
    <col min="2" max="2" width="90" customWidth="1"/>
  </cols>
  <sheetData>
    <row r="1" spans="1:2" x14ac:dyDescent="0.3">
      <c r="A1" s="4" t="s">
        <v>782</v>
      </c>
      <c r="B1" s="4" t="s">
        <v>783</v>
      </c>
    </row>
    <row r="2" spans="1:2" x14ac:dyDescent="0.3">
      <c r="A2" t="s">
        <v>784</v>
      </c>
      <c r="B2">
        <f>COUNTA('Bug Tracker - 85'!A2:A200)</f>
        <v>85</v>
      </c>
    </row>
    <row r="3" spans="1:2" x14ac:dyDescent="0.3">
      <c r="A3" t="s">
        <v>785</v>
      </c>
      <c r="B3">
        <f>COUNTIF('Bug Tracker - 85'!L:L,"Failed")</f>
        <v>75</v>
      </c>
    </row>
    <row r="4" spans="1:2" x14ac:dyDescent="0.3">
      <c r="A4" t="s">
        <v>786</v>
      </c>
      <c r="B4">
        <f>COUNTIF('Bug Tracker - 85'!L:L,"N/A")</f>
        <v>10</v>
      </c>
    </row>
    <row r="5" spans="1:2" x14ac:dyDescent="0.3">
      <c r="A5" t="s">
        <v>787</v>
      </c>
      <c r="B5">
        <f>COUNTIF('Bug Tracker - 85'!O:O,"Open")</f>
        <v>75</v>
      </c>
    </row>
    <row r="6" spans="1:2" x14ac:dyDescent="0.3">
      <c r="A6" t="s">
        <v>788</v>
      </c>
      <c r="B6">
        <f>COUNTIF('Bug Tracker - 85'!O:O,"In Progress")</f>
        <v>0</v>
      </c>
    </row>
    <row r="7" spans="1:2" x14ac:dyDescent="0.3">
      <c r="A7" t="s">
        <v>789</v>
      </c>
      <c r="B7">
        <f>COUNTIF('Bug Tracker - 85'!O:O,"Fixed")</f>
        <v>0</v>
      </c>
    </row>
    <row r="8" spans="1:2" x14ac:dyDescent="0.3">
      <c r="A8" t="s">
        <v>790</v>
      </c>
      <c r="B8">
        <f>COUNTIF('Bug Tracker - 85'!V:V,"Closed")</f>
        <v>0</v>
      </c>
    </row>
    <row r="9" spans="1:2" x14ac:dyDescent="0.3">
      <c r="A9" t="s">
        <v>50</v>
      </c>
      <c r="B9">
        <f>COUNTIF('Bug Tracker - 85'!P:P,"Unassigned")</f>
        <v>83</v>
      </c>
    </row>
    <row r="10" spans="1:2" x14ac:dyDescent="0.3">
      <c r="A10" t="s">
        <v>146</v>
      </c>
      <c r="B10">
        <f>COUNTIF('Bug Tracker - 85'!N:N,"Critical")</f>
        <v>0</v>
      </c>
    </row>
    <row r="11" spans="1:2" x14ac:dyDescent="0.3">
      <c r="A11" t="s">
        <v>45</v>
      </c>
      <c r="B11">
        <f>COUNTIF('Bug Tracker - 85'!N:N,"High")</f>
        <v>20</v>
      </c>
    </row>
    <row r="12" spans="1:2" x14ac:dyDescent="0.3">
      <c r="A12" t="s">
        <v>81</v>
      </c>
      <c r="B12">
        <f>COUNTIF('Bug Tracker - 85'!N:N,"Medium")</f>
        <v>52</v>
      </c>
    </row>
    <row r="13" spans="1:2" x14ac:dyDescent="0.3">
      <c r="A13" t="s">
        <v>68</v>
      </c>
      <c r="B13">
        <f>COUNTIF('Bug Tracker - 85'!N:N,"Low")</f>
        <v>13</v>
      </c>
    </row>
    <row r="14" spans="1:2" x14ac:dyDescent="0.3">
      <c r="A14" t="s">
        <v>791</v>
      </c>
      <c r="B14" t="s">
        <v>792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workbookViewId="0">
      <pane ySplit="1" topLeftCell="A2" activePane="bottomLeft" state="frozen"/>
      <selection pane="bottomLeft"/>
    </sheetView>
  </sheetViews>
  <sheetFormatPr defaultRowHeight="14.4" x14ac:dyDescent="0.3"/>
  <cols>
    <col min="1" max="9" width="22" customWidth="1"/>
  </cols>
  <sheetData>
    <row r="1" spans="1:9" x14ac:dyDescent="0.3">
      <c r="A1" s="4" t="s">
        <v>4</v>
      </c>
      <c r="B1" s="4" t="s">
        <v>784</v>
      </c>
      <c r="C1" s="4" t="s">
        <v>47</v>
      </c>
      <c r="D1" s="4" t="s">
        <v>180</v>
      </c>
      <c r="E1" s="4" t="s">
        <v>146</v>
      </c>
      <c r="F1" s="4" t="s">
        <v>45</v>
      </c>
      <c r="G1" s="4" t="s">
        <v>81</v>
      </c>
      <c r="H1" s="4" t="s">
        <v>68</v>
      </c>
      <c r="I1" s="4" t="s">
        <v>793</v>
      </c>
    </row>
    <row r="2" spans="1:9" x14ac:dyDescent="0.3">
      <c r="A2" t="s">
        <v>635</v>
      </c>
      <c r="B2">
        <f>COUNTIF('Bug Tracker - 85'!E:E,A2)</f>
        <v>10</v>
      </c>
      <c r="C2">
        <f>COUNTIFS('Bug Tracker - 85'!E:E,A2,'Bug Tracker - 85'!L:L,"Failed")</f>
        <v>7</v>
      </c>
      <c r="D2">
        <f>COUNTIFS('Bug Tracker - 85'!E:E,A2,'Bug Tracker - 85'!L:L,"N/A")</f>
        <v>3</v>
      </c>
      <c r="E2">
        <f>COUNTIFS('Bug Tracker - 85'!E:E,A2,'Bug Tracker - 85'!N:N,"Critical")</f>
        <v>0</v>
      </c>
      <c r="F2">
        <f>COUNTIFS('Bug Tracker - 85'!E:E,A2,'Bug Tracker - 85'!N:N,"High")</f>
        <v>1</v>
      </c>
      <c r="G2">
        <f>COUNTIFS('Bug Tracker - 85'!E:E,A2,'Bug Tracker - 85'!N:N,"Medium")</f>
        <v>6</v>
      </c>
      <c r="H2">
        <f>COUNTIFS('Bug Tracker - 85'!E:E,A2,'Bug Tracker - 85'!N:N,"Low")</f>
        <v>3</v>
      </c>
      <c r="I2">
        <f>COUNTIFS('Bug Tracker - 85'!E:E,A2,'Bug Tracker - 85'!O:O,"Open")+COUNTIFS('Bug Tracker - 85'!E:E,A2,'Bug Tracker - 85'!O:O,"In Progress")</f>
        <v>7</v>
      </c>
    </row>
    <row r="3" spans="1:9" x14ac:dyDescent="0.3">
      <c r="A3" t="s">
        <v>156</v>
      </c>
      <c r="B3">
        <f>COUNTIF('Bug Tracker - 85'!E:E,A3)</f>
        <v>2</v>
      </c>
      <c r="C3">
        <f>COUNTIFS('Bug Tracker - 85'!E:E,A3,'Bug Tracker - 85'!L:L,"Failed")</f>
        <v>2</v>
      </c>
      <c r="D3">
        <f>COUNTIFS('Bug Tracker - 85'!E:E,A3,'Bug Tracker - 85'!L:L,"N/A")</f>
        <v>0</v>
      </c>
      <c r="E3">
        <f>COUNTIFS('Bug Tracker - 85'!E:E,A3,'Bug Tracker - 85'!N:N,"Critical")</f>
        <v>0</v>
      </c>
      <c r="F3">
        <f>COUNTIFS('Bug Tracker - 85'!E:E,A3,'Bug Tracker - 85'!N:N,"High")</f>
        <v>1</v>
      </c>
      <c r="G3">
        <f>COUNTIFS('Bug Tracker - 85'!E:E,A3,'Bug Tracker - 85'!N:N,"Medium")</f>
        <v>1</v>
      </c>
      <c r="H3">
        <f>COUNTIFS('Bug Tracker - 85'!E:E,A3,'Bug Tracker - 85'!N:N,"Low")</f>
        <v>0</v>
      </c>
      <c r="I3">
        <f>COUNTIFS('Bug Tracker - 85'!E:E,A3,'Bug Tracker - 85'!O:O,"Open")+COUNTIFS('Bug Tracker - 85'!E:E,A3,'Bug Tracker - 85'!O:O,"In Progress")</f>
        <v>2</v>
      </c>
    </row>
    <row r="4" spans="1:9" x14ac:dyDescent="0.3">
      <c r="A4" t="s">
        <v>143</v>
      </c>
      <c r="B4">
        <f>COUNTIF('Bug Tracker - 85'!E:E,A4)</f>
        <v>1</v>
      </c>
      <c r="C4">
        <f>COUNTIFS('Bug Tracker - 85'!E:E,A4,'Bug Tracker - 85'!L:L,"Failed")</f>
        <v>1</v>
      </c>
      <c r="D4">
        <f>COUNTIFS('Bug Tracker - 85'!E:E,A4,'Bug Tracker - 85'!L:L,"N/A")</f>
        <v>0</v>
      </c>
      <c r="E4">
        <f>COUNTIFS('Bug Tracker - 85'!E:E,A4,'Bug Tracker - 85'!N:N,"Critical")</f>
        <v>0</v>
      </c>
      <c r="F4">
        <f>COUNTIFS('Bug Tracker - 85'!E:E,A4,'Bug Tracker - 85'!N:N,"High")</f>
        <v>0</v>
      </c>
      <c r="G4">
        <f>COUNTIFS('Bug Tracker - 85'!E:E,A4,'Bug Tracker - 85'!N:N,"Medium")</f>
        <v>1</v>
      </c>
      <c r="H4">
        <f>COUNTIFS('Bug Tracker - 85'!E:E,A4,'Bug Tracker - 85'!N:N,"Low")</f>
        <v>0</v>
      </c>
      <c r="I4">
        <f>COUNTIFS('Bug Tracker - 85'!E:E,A4,'Bug Tracker - 85'!O:O,"Open")+COUNTIFS('Bug Tracker - 85'!E:E,A4,'Bug Tracker - 85'!O:O,"In Progress")</f>
        <v>1</v>
      </c>
    </row>
    <row r="5" spans="1:9" x14ac:dyDescent="0.3">
      <c r="A5" t="s">
        <v>347</v>
      </c>
      <c r="B5">
        <f>COUNTIF('Bug Tracker - 85'!E:E,A5)</f>
        <v>6</v>
      </c>
      <c r="C5">
        <f>COUNTIFS('Bug Tracker - 85'!E:E,A5,'Bug Tracker - 85'!L:L,"Failed")</f>
        <v>6</v>
      </c>
      <c r="D5">
        <f>COUNTIFS('Bug Tracker - 85'!E:E,A5,'Bug Tracker - 85'!L:L,"N/A")</f>
        <v>0</v>
      </c>
      <c r="E5">
        <f>COUNTIFS('Bug Tracker - 85'!E:E,A5,'Bug Tracker - 85'!N:N,"Critical")</f>
        <v>0</v>
      </c>
      <c r="F5">
        <f>COUNTIFS('Bug Tracker - 85'!E:E,A5,'Bug Tracker - 85'!N:N,"High")</f>
        <v>0</v>
      </c>
      <c r="G5">
        <f>COUNTIFS('Bug Tracker - 85'!E:E,A5,'Bug Tracker - 85'!N:N,"Medium")</f>
        <v>6</v>
      </c>
      <c r="H5">
        <f>COUNTIFS('Bug Tracker - 85'!E:E,A5,'Bug Tracker - 85'!N:N,"Low")</f>
        <v>0</v>
      </c>
      <c r="I5">
        <f>COUNTIFS('Bug Tracker - 85'!E:E,A5,'Bug Tracker - 85'!O:O,"Open")+COUNTIFS('Bug Tracker - 85'!E:E,A5,'Bug Tracker - 85'!O:O,"In Progress")</f>
        <v>6</v>
      </c>
    </row>
    <row r="6" spans="1:9" x14ac:dyDescent="0.3">
      <c r="A6" t="s">
        <v>747</v>
      </c>
      <c r="B6">
        <f>COUNTIF('Bug Tracker - 85'!E:E,A6)</f>
        <v>2</v>
      </c>
      <c r="C6">
        <f>COUNTIFS('Bug Tracker - 85'!E:E,A6,'Bug Tracker - 85'!L:L,"Failed")</f>
        <v>2</v>
      </c>
      <c r="D6">
        <f>COUNTIFS('Bug Tracker - 85'!E:E,A6,'Bug Tracker - 85'!L:L,"N/A")</f>
        <v>0</v>
      </c>
      <c r="E6">
        <f>COUNTIFS('Bug Tracker - 85'!E:E,A6,'Bug Tracker - 85'!N:N,"Critical")</f>
        <v>0</v>
      </c>
      <c r="F6">
        <f>COUNTIFS('Bug Tracker - 85'!E:E,A6,'Bug Tracker - 85'!N:N,"High")</f>
        <v>0</v>
      </c>
      <c r="G6">
        <f>COUNTIFS('Bug Tracker - 85'!E:E,A6,'Bug Tracker - 85'!N:N,"Medium")</f>
        <v>2</v>
      </c>
      <c r="H6">
        <f>COUNTIFS('Bug Tracker - 85'!E:E,A6,'Bug Tracker - 85'!N:N,"Low")</f>
        <v>0</v>
      </c>
      <c r="I6">
        <f>COUNTIFS('Bug Tracker - 85'!E:E,A6,'Bug Tracker - 85'!O:O,"Open")+COUNTIFS('Bug Tracker - 85'!E:E,A6,'Bug Tracker - 85'!O:O,"In Progress")</f>
        <v>2</v>
      </c>
    </row>
    <row r="7" spans="1:9" x14ac:dyDescent="0.3">
      <c r="A7" t="s">
        <v>766</v>
      </c>
      <c r="B7">
        <f>COUNTIF('Bug Tracker - 85'!E:E,A7)</f>
        <v>2</v>
      </c>
      <c r="C7">
        <f>COUNTIFS('Bug Tracker - 85'!E:E,A7,'Bug Tracker - 85'!L:L,"Failed")</f>
        <v>2</v>
      </c>
      <c r="D7">
        <f>COUNTIFS('Bug Tracker - 85'!E:E,A7,'Bug Tracker - 85'!L:L,"N/A")</f>
        <v>0</v>
      </c>
      <c r="E7">
        <f>COUNTIFS('Bug Tracker - 85'!E:E,A7,'Bug Tracker - 85'!N:N,"Critical")</f>
        <v>0</v>
      </c>
      <c r="F7">
        <f>COUNTIFS('Bug Tracker - 85'!E:E,A7,'Bug Tracker - 85'!N:N,"High")</f>
        <v>2</v>
      </c>
      <c r="G7">
        <f>COUNTIFS('Bug Tracker - 85'!E:E,A7,'Bug Tracker - 85'!N:N,"Medium")</f>
        <v>0</v>
      </c>
      <c r="H7">
        <f>COUNTIFS('Bug Tracker - 85'!E:E,A7,'Bug Tracker - 85'!N:N,"Low")</f>
        <v>0</v>
      </c>
      <c r="I7">
        <f>COUNTIFS('Bug Tracker - 85'!E:E,A7,'Bug Tracker - 85'!O:O,"Open")+COUNTIFS('Bug Tracker - 85'!E:E,A7,'Bug Tracker - 85'!O:O,"In Progress")</f>
        <v>2</v>
      </c>
    </row>
    <row r="8" spans="1:9" x14ac:dyDescent="0.3">
      <c r="A8" t="s">
        <v>720</v>
      </c>
      <c r="B8">
        <f>COUNTIF('Bug Tracker - 85'!E:E,A8)</f>
        <v>3</v>
      </c>
      <c r="C8">
        <f>COUNTIFS('Bug Tracker - 85'!E:E,A8,'Bug Tracker - 85'!L:L,"Failed")</f>
        <v>3</v>
      </c>
      <c r="D8">
        <f>COUNTIFS('Bug Tracker - 85'!E:E,A8,'Bug Tracker - 85'!L:L,"N/A")</f>
        <v>0</v>
      </c>
      <c r="E8">
        <f>COUNTIFS('Bug Tracker - 85'!E:E,A8,'Bug Tracker - 85'!N:N,"Critical")</f>
        <v>0</v>
      </c>
      <c r="F8">
        <f>COUNTIFS('Bug Tracker - 85'!E:E,A8,'Bug Tracker - 85'!N:N,"High")</f>
        <v>2</v>
      </c>
      <c r="G8">
        <f>COUNTIFS('Bug Tracker - 85'!E:E,A8,'Bug Tracker - 85'!N:N,"Medium")</f>
        <v>1</v>
      </c>
      <c r="H8">
        <f>COUNTIFS('Bug Tracker - 85'!E:E,A8,'Bug Tracker - 85'!N:N,"Low")</f>
        <v>0</v>
      </c>
      <c r="I8">
        <f>COUNTIFS('Bug Tracker - 85'!E:E,A8,'Bug Tracker - 85'!O:O,"Open")+COUNTIFS('Bug Tracker - 85'!E:E,A8,'Bug Tracker - 85'!O:O,"In Progress")</f>
        <v>3</v>
      </c>
    </row>
    <row r="9" spans="1:9" x14ac:dyDescent="0.3">
      <c r="A9" t="s">
        <v>132</v>
      </c>
      <c r="B9">
        <f>COUNTIF('Bug Tracker - 85'!E:E,A9)</f>
        <v>1</v>
      </c>
      <c r="C9">
        <f>COUNTIFS('Bug Tracker - 85'!E:E,A9,'Bug Tracker - 85'!L:L,"Failed")</f>
        <v>1</v>
      </c>
      <c r="D9">
        <f>COUNTIFS('Bug Tracker - 85'!E:E,A9,'Bug Tracker - 85'!L:L,"N/A")</f>
        <v>0</v>
      </c>
      <c r="E9">
        <f>COUNTIFS('Bug Tracker - 85'!E:E,A9,'Bug Tracker - 85'!N:N,"Critical")</f>
        <v>0</v>
      </c>
      <c r="F9">
        <f>COUNTIFS('Bug Tracker - 85'!E:E,A9,'Bug Tracker - 85'!N:N,"High")</f>
        <v>1</v>
      </c>
      <c r="G9">
        <f>COUNTIFS('Bug Tracker - 85'!E:E,A9,'Bug Tracker - 85'!N:N,"Medium")</f>
        <v>0</v>
      </c>
      <c r="H9">
        <f>COUNTIFS('Bug Tracker - 85'!E:E,A9,'Bug Tracker - 85'!N:N,"Low")</f>
        <v>0</v>
      </c>
      <c r="I9">
        <f>COUNTIFS('Bug Tracker - 85'!E:E,A9,'Bug Tracker - 85'!O:O,"Open")+COUNTIFS('Bug Tracker - 85'!E:E,A9,'Bug Tracker - 85'!O:O,"In Progress")</f>
        <v>1</v>
      </c>
    </row>
    <row r="10" spans="1:9" x14ac:dyDescent="0.3">
      <c r="A10" t="s">
        <v>269</v>
      </c>
      <c r="B10">
        <f>COUNTIF('Bug Tracker - 85'!E:E,A10)</f>
        <v>6</v>
      </c>
      <c r="C10">
        <f>COUNTIFS('Bug Tracker - 85'!E:E,A10,'Bug Tracker - 85'!L:L,"Failed")</f>
        <v>5</v>
      </c>
      <c r="D10">
        <f>COUNTIFS('Bug Tracker - 85'!E:E,A10,'Bug Tracker - 85'!L:L,"N/A")</f>
        <v>1</v>
      </c>
      <c r="E10">
        <f>COUNTIFS('Bug Tracker - 85'!E:E,A10,'Bug Tracker - 85'!N:N,"Critical")</f>
        <v>0</v>
      </c>
      <c r="F10">
        <f>COUNTIFS('Bug Tracker - 85'!E:E,A10,'Bug Tracker - 85'!N:N,"High")</f>
        <v>2</v>
      </c>
      <c r="G10">
        <f>COUNTIFS('Bug Tracker - 85'!E:E,A10,'Bug Tracker - 85'!N:N,"Medium")</f>
        <v>2</v>
      </c>
      <c r="H10">
        <f>COUNTIFS('Bug Tracker - 85'!E:E,A10,'Bug Tracker - 85'!N:N,"Low")</f>
        <v>2</v>
      </c>
      <c r="I10">
        <f>COUNTIFS('Bug Tracker - 85'!E:E,A10,'Bug Tracker - 85'!O:O,"Open")+COUNTIFS('Bug Tracker - 85'!E:E,A10,'Bug Tracker - 85'!O:O,"In Progress")</f>
        <v>5</v>
      </c>
    </row>
    <row r="11" spans="1:9" x14ac:dyDescent="0.3">
      <c r="A11" t="s">
        <v>65</v>
      </c>
      <c r="B11">
        <f>COUNTIF('Bug Tracker - 85'!E:E,A11)</f>
        <v>11</v>
      </c>
      <c r="C11">
        <f>COUNTIFS('Bug Tracker - 85'!E:E,A11,'Bug Tracker - 85'!L:L,"Failed")</f>
        <v>7</v>
      </c>
      <c r="D11">
        <f>COUNTIFS('Bug Tracker - 85'!E:E,A11,'Bug Tracker - 85'!L:L,"N/A")</f>
        <v>4</v>
      </c>
      <c r="E11">
        <f>COUNTIFS('Bug Tracker - 85'!E:E,A11,'Bug Tracker - 85'!N:N,"Critical")</f>
        <v>0</v>
      </c>
      <c r="F11">
        <f>COUNTIFS('Bug Tracker - 85'!E:E,A11,'Bug Tracker - 85'!N:N,"High")</f>
        <v>4</v>
      </c>
      <c r="G11">
        <f>COUNTIFS('Bug Tracker - 85'!E:E,A11,'Bug Tracker - 85'!N:N,"Medium")</f>
        <v>1</v>
      </c>
      <c r="H11">
        <f>COUNTIFS('Bug Tracker - 85'!E:E,A11,'Bug Tracker - 85'!N:N,"Low")</f>
        <v>6</v>
      </c>
      <c r="I11">
        <f>COUNTIFS('Bug Tracker - 85'!E:E,A11,'Bug Tracker - 85'!O:O,"Open")+COUNTIFS('Bug Tracker - 85'!E:E,A11,'Bug Tracker - 85'!O:O,"In Progress")</f>
        <v>7</v>
      </c>
    </row>
    <row r="12" spans="1:9" x14ac:dyDescent="0.3">
      <c r="A12" t="s">
        <v>121</v>
      </c>
      <c r="B12">
        <f>COUNTIF('Bug Tracker - 85'!E:E,A12)</f>
        <v>1</v>
      </c>
      <c r="C12">
        <f>COUNTIFS('Bug Tracker - 85'!E:E,A12,'Bug Tracker - 85'!L:L,"Failed")</f>
        <v>1</v>
      </c>
      <c r="D12">
        <f>COUNTIFS('Bug Tracker - 85'!E:E,A12,'Bug Tracker - 85'!L:L,"N/A")</f>
        <v>0</v>
      </c>
      <c r="E12">
        <f>COUNTIFS('Bug Tracker - 85'!E:E,A12,'Bug Tracker - 85'!N:N,"Critical")</f>
        <v>0</v>
      </c>
      <c r="F12">
        <f>COUNTIFS('Bug Tracker - 85'!E:E,A12,'Bug Tracker - 85'!N:N,"High")</f>
        <v>1</v>
      </c>
      <c r="G12">
        <f>COUNTIFS('Bug Tracker - 85'!E:E,A12,'Bug Tracker - 85'!N:N,"Medium")</f>
        <v>0</v>
      </c>
      <c r="H12">
        <f>COUNTIFS('Bug Tracker - 85'!E:E,A12,'Bug Tracker - 85'!N:N,"Low")</f>
        <v>0</v>
      </c>
      <c r="I12">
        <f>COUNTIFS('Bug Tracker - 85'!E:E,A12,'Bug Tracker - 85'!O:O,"Open")+COUNTIFS('Bug Tracker - 85'!E:E,A12,'Bug Tracker - 85'!O:O,"In Progress")</f>
        <v>1</v>
      </c>
    </row>
    <row r="13" spans="1:9" x14ac:dyDescent="0.3">
      <c r="A13" t="s">
        <v>242</v>
      </c>
      <c r="B13">
        <f>COUNTIF('Bug Tracker - 85'!E:E,A13)</f>
        <v>3</v>
      </c>
      <c r="C13">
        <f>COUNTIFS('Bug Tracker - 85'!E:E,A13,'Bug Tracker - 85'!L:L,"Failed")</f>
        <v>3</v>
      </c>
      <c r="D13">
        <f>COUNTIFS('Bug Tracker - 85'!E:E,A13,'Bug Tracker - 85'!L:L,"N/A")</f>
        <v>0</v>
      </c>
      <c r="E13">
        <f>COUNTIFS('Bug Tracker - 85'!E:E,A13,'Bug Tracker - 85'!N:N,"Critical")</f>
        <v>0</v>
      </c>
      <c r="F13">
        <f>COUNTIFS('Bug Tracker - 85'!E:E,A13,'Bug Tracker - 85'!N:N,"High")</f>
        <v>0</v>
      </c>
      <c r="G13">
        <f>COUNTIFS('Bug Tracker - 85'!E:E,A13,'Bug Tracker - 85'!N:N,"Medium")</f>
        <v>3</v>
      </c>
      <c r="H13">
        <f>COUNTIFS('Bug Tracker - 85'!E:E,A13,'Bug Tracker - 85'!N:N,"Low")</f>
        <v>0</v>
      </c>
      <c r="I13">
        <f>COUNTIFS('Bug Tracker - 85'!E:E,A13,'Bug Tracker - 85'!O:O,"Open")+COUNTIFS('Bug Tracker - 85'!E:E,A13,'Bug Tracker - 85'!O:O,"In Progress")</f>
        <v>3</v>
      </c>
    </row>
    <row r="14" spans="1:9" x14ac:dyDescent="0.3">
      <c r="A14" t="s">
        <v>41</v>
      </c>
      <c r="B14">
        <f>COUNTIF('Bug Tracker - 85'!E:E,A14)</f>
        <v>1</v>
      </c>
      <c r="C14">
        <f>COUNTIFS('Bug Tracker - 85'!E:E,A14,'Bug Tracker - 85'!L:L,"Failed")</f>
        <v>1</v>
      </c>
      <c r="D14">
        <f>COUNTIFS('Bug Tracker - 85'!E:E,A14,'Bug Tracker - 85'!L:L,"N/A")</f>
        <v>0</v>
      </c>
      <c r="E14">
        <f>COUNTIFS('Bug Tracker - 85'!E:E,A14,'Bug Tracker - 85'!N:N,"Critical")</f>
        <v>0</v>
      </c>
      <c r="F14">
        <f>COUNTIFS('Bug Tracker - 85'!E:E,A14,'Bug Tracker - 85'!N:N,"High")</f>
        <v>1</v>
      </c>
      <c r="G14">
        <f>COUNTIFS('Bug Tracker - 85'!E:E,A14,'Bug Tracker - 85'!N:N,"Medium")</f>
        <v>0</v>
      </c>
      <c r="H14">
        <f>COUNTIFS('Bug Tracker - 85'!E:E,A14,'Bug Tracker - 85'!N:N,"Low")</f>
        <v>0</v>
      </c>
      <c r="I14">
        <f>COUNTIFS('Bug Tracker - 85'!E:E,A14,'Bug Tracker - 85'!O:O,"Open")+COUNTIFS('Bug Tracker - 85'!E:E,A14,'Bug Tracker - 85'!O:O,"In Progress")</f>
        <v>1</v>
      </c>
    </row>
    <row r="15" spans="1:9" x14ac:dyDescent="0.3">
      <c r="A15" t="s">
        <v>178</v>
      </c>
      <c r="B15">
        <f>COUNTIF('Bug Tracker - 85'!E:E,A15)</f>
        <v>7</v>
      </c>
      <c r="C15">
        <f>COUNTIFS('Bug Tracker - 85'!E:E,A15,'Bug Tracker - 85'!L:L,"Failed")</f>
        <v>5</v>
      </c>
      <c r="D15">
        <f>COUNTIFS('Bug Tracker - 85'!E:E,A15,'Bug Tracker - 85'!L:L,"N/A")</f>
        <v>2</v>
      </c>
      <c r="E15">
        <f>COUNTIFS('Bug Tracker - 85'!E:E,A15,'Bug Tracker - 85'!N:N,"Critical")</f>
        <v>0</v>
      </c>
      <c r="F15">
        <f>COUNTIFS('Bug Tracker - 85'!E:E,A15,'Bug Tracker - 85'!N:N,"High")</f>
        <v>2</v>
      </c>
      <c r="G15">
        <f>COUNTIFS('Bug Tracker - 85'!E:E,A15,'Bug Tracker - 85'!N:N,"Medium")</f>
        <v>3</v>
      </c>
      <c r="H15">
        <f>COUNTIFS('Bug Tracker - 85'!E:E,A15,'Bug Tracker - 85'!N:N,"Low")</f>
        <v>2</v>
      </c>
      <c r="I15">
        <f>COUNTIFS('Bug Tracker - 85'!E:E,A15,'Bug Tracker - 85'!O:O,"Open")+COUNTIFS('Bug Tracker - 85'!E:E,A15,'Bug Tracker - 85'!O:O,"In Progress")</f>
        <v>5</v>
      </c>
    </row>
    <row r="16" spans="1:9" x14ac:dyDescent="0.3">
      <c r="A16" t="s">
        <v>507</v>
      </c>
      <c r="B16">
        <f>COUNTIF('Bug Tracker - 85'!E:E,A16)</f>
        <v>7</v>
      </c>
      <c r="C16">
        <f>COUNTIFS('Bug Tracker - 85'!E:E,A16,'Bug Tracker - 85'!L:L,"Failed")</f>
        <v>7</v>
      </c>
      <c r="D16">
        <f>COUNTIFS('Bug Tracker - 85'!E:E,A16,'Bug Tracker - 85'!L:L,"N/A")</f>
        <v>0</v>
      </c>
      <c r="E16">
        <f>COUNTIFS('Bug Tracker - 85'!E:E,A16,'Bug Tracker - 85'!N:N,"Critical")</f>
        <v>0</v>
      </c>
      <c r="F16">
        <f>COUNTIFS('Bug Tracker - 85'!E:E,A16,'Bug Tracker - 85'!N:N,"High")</f>
        <v>2</v>
      </c>
      <c r="G16">
        <f>COUNTIFS('Bug Tracker - 85'!E:E,A16,'Bug Tracker - 85'!N:N,"Medium")</f>
        <v>5</v>
      </c>
      <c r="H16">
        <f>COUNTIFS('Bug Tracker - 85'!E:E,A16,'Bug Tracker - 85'!N:N,"Low")</f>
        <v>0</v>
      </c>
      <c r="I16">
        <f>COUNTIFS('Bug Tracker - 85'!E:E,A16,'Bug Tracker - 85'!O:O,"Open")+COUNTIFS('Bug Tracker - 85'!E:E,A16,'Bug Tracker - 85'!O:O,"In Progress")</f>
        <v>7</v>
      </c>
    </row>
    <row r="17" spans="1:9" x14ac:dyDescent="0.3">
      <c r="A17" t="s">
        <v>78</v>
      </c>
      <c r="B17">
        <f>COUNTIF('Bug Tracker - 85'!E:E,A17)</f>
        <v>19</v>
      </c>
      <c r="C17">
        <f>COUNTIFS('Bug Tracker - 85'!E:E,A17,'Bug Tracker - 85'!L:L,"Failed")</f>
        <v>19</v>
      </c>
      <c r="D17">
        <f>COUNTIFS('Bug Tracker - 85'!E:E,A17,'Bug Tracker - 85'!L:L,"N/A")</f>
        <v>0</v>
      </c>
      <c r="E17">
        <f>COUNTIFS('Bug Tracker - 85'!E:E,A17,'Bug Tracker - 85'!N:N,"Critical")</f>
        <v>0</v>
      </c>
      <c r="F17">
        <f>COUNTIFS('Bug Tracker - 85'!E:E,A17,'Bug Tracker - 85'!N:N,"High")</f>
        <v>1</v>
      </c>
      <c r="G17">
        <f>COUNTIFS('Bug Tracker - 85'!E:E,A17,'Bug Tracker - 85'!N:N,"Medium")</f>
        <v>18</v>
      </c>
      <c r="H17">
        <f>COUNTIFS('Bug Tracker - 85'!E:E,A17,'Bug Tracker - 85'!N:N,"Low")</f>
        <v>0</v>
      </c>
      <c r="I17">
        <f>COUNTIFS('Bug Tracker - 85'!E:E,A17,'Bug Tracker - 85'!O:O,"Open")+COUNTIFS('Bug Tracker - 85'!E:E,A17,'Bug Tracker - 85'!O:O,"In Progress")</f>
        <v>19</v>
      </c>
    </row>
    <row r="18" spans="1:9" x14ac:dyDescent="0.3">
      <c r="A18" t="s">
        <v>320</v>
      </c>
      <c r="B18">
        <f>COUNTIF('Bug Tracker - 85'!E:E,A18)</f>
        <v>3</v>
      </c>
      <c r="C18">
        <f>COUNTIFS('Bug Tracker - 85'!E:E,A18,'Bug Tracker - 85'!L:L,"Failed")</f>
        <v>3</v>
      </c>
      <c r="D18">
        <f>COUNTIFS('Bug Tracker - 85'!E:E,A18,'Bug Tracker - 85'!L:L,"N/A")</f>
        <v>0</v>
      </c>
      <c r="E18">
        <f>COUNTIFS('Bug Tracker - 85'!E:E,A18,'Bug Tracker - 85'!N:N,"Critical")</f>
        <v>0</v>
      </c>
      <c r="F18">
        <f>COUNTIFS('Bug Tracker - 85'!E:E,A18,'Bug Tracker - 85'!N:N,"High")</f>
        <v>0</v>
      </c>
      <c r="G18">
        <f>COUNTIFS('Bug Tracker - 85'!E:E,A18,'Bug Tracker - 85'!N:N,"Medium")</f>
        <v>3</v>
      </c>
      <c r="H18">
        <f>COUNTIFS('Bug Tracker - 85'!E:E,A18,'Bug Tracker - 85'!N:N,"Low")</f>
        <v>0</v>
      </c>
      <c r="I18">
        <f>COUNTIFS('Bug Tracker - 85'!E:E,A18,'Bug Tracker - 85'!O:O,"Open")+COUNTIFS('Bug Tracker - 85'!E:E,A18,'Bug Tracker - 85'!O:O,"In Progress")</f>
        <v>3</v>
      </c>
    </row>
  </sheetData>
  <autoFilter ref="A1:I1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defaultRowHeight="14.4" x14ac:dyDescent="0.3"/>
  <cols>
    <col min="1" max="1" width="38" customWidth="1"/>
    <col min="2" max="2" width="120" customWidth="1"/>
  </cols>
  <sheetData>
    <row r="1" spans="1:2" x14ac:dyDescent="0.3">
      <c r="A1" s="4" t="s">
        <v>794</v>
      </c>
      <c r="B1" s="4" t="s">
        <v>795</v>
      </c>
    </row>
    <row r="2" spans="1:2" x14ac:dyDescent="0.3">
      <c r="A2" t="s">
        <v>796</v>
      </c>
      <c r="B2" t="s">
        <v>797</v>
      </c>
    </row>
    <row r="3" spans="1:2" x14ac:dyDescent="0.3">
      <c r="A3" t="s">
        <v>798</v>
      </c>
      <c r="B3" t="s">
        <v>799</v>
      </c>
    </row>
    <row r="4" spans="1:2" x14ac:dyDescent="0.3">
      <c r="A4" t="s">
        <v>800</v>
      </c>
      <c r="B4" t="s">
        <v>801</v>
      </c>
    </row>
    <row r="5" spans="1:2" x14ac:dyDescent="0.3">
      <c r="A5" t="s">
        <v>802</v>
      </c>
      <c r="B5" t="s">
        <v>803</v>
      </c>
    </row>
    <row r="6" spans="1:2" x14ac:dyDescent="0.3">
      <c r="A6" t="s">
        <v>804</v>
      </c>
      <c r="B6" t="s">
        <v>805</v>
      </c>
    </row>
    <row r="7" spans="1:2" x14ac:dyDescent="0.3">
      <c r="A7" t="s">
        <v>10</v>
      </c>
      <c r="B7" t="s">
        <v>806</v>
      </c>
    </row>
    <row r="8" spans="1:2" x14ac:dyDescent="0.3">
      <c r="A8" t="s">
        <v>807</v>
      </c>
      <c r="B8" t="s">
        <v>808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Bug Tracker - 85</vt:lpstr>
      <vt:lpstr>Developer Rework Summary</vt:lpstr>
      <vt:lpstr>Module Wise Bugs</vt:lpstr>
      <vt:lpstr>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RISHIVARSHINI S</cp:lastModifiedBy>
  <dcterms:created xsi:type="dcterms:W3CDTF">2026-09-18T12:53:57Z</dcterms:created>
  <dcterms:modified xsi:type="dcterms:W3CDTF">2026-09-18T17:24:50Z</dcterms:modified>
</cp:coreProperties>
</file>